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b202bfc9d5d4b2e" /></Relationships>
</file>

<file path=xl/workbook.xml><?xml version="1.0" encoding="utf-8"?>
<x:workbook xmlns:x="http://schemas.openxmlformats.org/spreadsheetml/2006/main">
  <x:sheets>
    <x:sheet xmlns:r="http://schemas.openxmlformats.org/officeDocument/2006/relationships" name="Start &amp; beheer" sheetId="1" r:id="R75e881928ec84dfe"/>
    <x:sheet xmlns:r="http://schemas.openxmlformats.org/officeDocument/2006/relationships" name="Dataclassificatie" sheetId="2" r:id="Rbfac48e8bfa94197"/>
    <x:sheet xmlns:r="http://schemas.openxmlformats.org/officeDocument/2006/relationships" name="Productcategorieen" sheetId="3" r:id="Rd758d38b083e4aaa"/>
    <x:sheet xmlns:r="http://schemas.openxmlformats.org/officeDocument/2006/relationships" name="Producten" sheetId="4" r:id="R76b8735006cc431b"/>
    <x:sheet xmlns:r="http://schemas.openxmlformats.org/officeDocument/2006/relationships" name="Materialen" sheetId="5" r:id="R0ac031ff3b6d4ab5"/>
    <x:sheet xmlns:r="http://schemas.openxmlformats.org/officeDocument/2006/relationships" name="Componenten" sheetId="6" r:id="R21c831c03b7d4e8b"/>
    <x:sheet xmlns:r="http://schemas.openxmlformats.org/officeDocument/2006/relationships" name="Verbindingsrecepten" sheetId="7" r:id="R07580a305763407b"/>
    <x:sheet xmlns:r="http://schemas.openxmlformats.org/officeDocument/2006/relationships" name="Categorie-regels" sheetId="8" r:id="R76d9959a14884b61"/>
    <x:sheet xmlns:r="http://schemas.openxmlformats.org/officeDocument/2006/relationships" name="Product-regels" sheetId="9" r:id="R7fb5597163494b9e"/>
    <x:sheet xmlns:r="http://schemas.openxmlformats.org/officeDocument/2006/relationships" name="Controles" sheetId="10" r:id="R1e64fd0f468847bd"/>
    <x:sheet xmlns:r="http://schemas.openxmlformats.org/officeDocument/2006/relationships" name="Open punten" sheetId="11" r:id="R7a59341cbb2e4d26"/>
    <x:sheet xmlns:r="http://schemas.openxmlformats.org/officeDocument/2006/relationships" name="Wijzigingslog" sheetId="12" r:id="Rcf83d3efaf004fe9"/>
    <x:sheet xmlns:r="http://schemas.openxmlformats.org/officeDocument/2006/relationships" name="Keuzelijsten" sheetId="13" r:id="Rcf4ba17f578147fd"/>
    <x:sheet xmlns:r="http://schemas.openxmlformats.org/officeDocument/2006/relationships" name="Prijs &amp; inkoop" sheetId="14" r:id="Rb238f5349b8248c4"/>
    <x:sheet xmlns:r="http://schemas.openxmlformats.org/officeDocument/2006/relationships" name="Gereedschappen" sheetId="15" r:id="R41d55b7da2904bf3"/>
    <x:sheet xmlns:r="http://schemas.openxmlformats.org/officeDocument/2006/relationships" name="CAM-parameters" sheetId="16" r:id="Rc498f550a20340c4"/>
    <x:sheet xmlns:r="http://schemas.openxmlformats.org/officeDocument/2006/relationships" name="Leveranciers" sheetId="17" r:id="Ra0a77d0f1dfb42ff"/>
  </x:sheets>
</x:workbook>
</file>

<file path=xl/comments1.xml><?xml version="1.0" encoding="utf-8"?>
<x:comments xmlns:x="http://schemas.openxmlformats.org/spreadsheetml/2006/main">
  <x:authors>
    <x:author>tc={3E59E486-0D64-9B39-FBF0-EAF7F0514440}</x:author>
    <x:author>tc={F7676146-764A-46E0-3A19-6C3D9CD70773}</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Materiaal-ID beschrijft het materiaalrecord. De keuze welk product dit gebruikt hoort in Product-regels.</x:t>
        </x:r>
      </x:text>
    </x:comment>
    <x:comment ref="D20" authorId="1">
      <x:text>
        <x:r>
          <x:t>[Threaded comment]
Your version of Excel allows you to read this threaded comment; however, any edits to it will get removed if the file is opened in a newer version of Excel. Learn more: https://go.microsoft.com/fwlink/?linkid=870924
Comment:
    Serie 8 gekozen omdat de gedetecteerde zwarte 160x40-afdekkap TIN 100199 uitsluitend voor groef 8 / I-type is opgegeven.</x:t>
        </x:r>
      </x:text>
    </x:comment>
  </x:commentList>
</x:comments>
</file>

<file path=xl/comments2.xml><?xml version="1.0" encoding="utf-8"?>
<x:comments xmlns:x="http://schemas.openxmlformats.org/spreadsheetml/2006/main">
  <x:authors>
    <x:author>tc={47D89DD4-6F0B-0311-72DC-EE39CDD9F80C}</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Een recept is herbruikbare verbindingslogica en mag door meerdere categorieën/producten worden aangeroepen.</x:t>
        </x:r>
      </x:text>
    </x:comment>
  </x:commentList>
</x:comments>
</file>

<file path=xl/comments3.xml><?xml version="1.0" encoding="utf-8"?>
<x:comments xmlns:x="http://schemas.openxmlformats.org/spreadsheetml/2006/main">
  <x:authors>
    <x:author>tc={7E09DE35-7009-A466-1DDC-F4753AE754D4}</x:author>
    <x:author>tc={77F0B780-DCD2-8E66-DB3B-81340D8028B8}</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Stabiel regel-ID: wijzig een bestaande betekenis niet; maak bij een incompatibele wijziging een nieuwe regel/revisie.</x:t>
        </x:r>
      </x:text>
    </x:comment>
    <x:comment ref="J29" authorId="1">
      <x:text>
        <x:r>
          <x:t>[Threaded comment]
Your version of Excel allows you to read this threaded comment; however, any edits to it will get removed if the file is opened in a newer version of Excel. Learn more: https://go.microsoft.com/fwlink/?linkid=870924
Comment:
    Oriëntatie gecorrigeerd: de onderste 40x80-profielen staan, dus 80 mm verticaal en 40 mm dwars. Dit geldt voor vier omtrekliggers en exact één dwarsligger.</x:t>
        </x:r>
      </x:text>
    </x:comment>
  </x:commentList>
</x:comments>
</file>

<file path=xl/comments4.xml><?xml version="1.0" encoding="utf-8"?>
<x:comments xmlns:x="http://schemas.openxmlformats.org/spreadsheetml/2006/main">
  <x:authors>
    <x:author>tc={0C38FEB9-2138-A3AE-F19F-8E70BD328EB7}</x:author>
    <x:author>tc={FF608F07-C774-3F7B-C3BE-F61A909B8484}</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Interne stabiele sleutel waarmee calculatie en BOM aan deze prijsregel koppelen. Niet wijzigen zonder migratie van de codekoppeling.</x:t>
        </x:r>
      </x:text>
    </x:comment>
    <x:comment ref="H5" authorId="1">
      <x:text>
        <x:r>
          <x:t>[Threaded comment]
Your version of Excel allows you to read this threaded comment; however, any edits to it will get removed if the file is opened in a newer version of Excel. Learn more: https://go.microsoft.com/fwlink/?linkid=870924
Comment:
    Artikelcode van de leverancier. Dit is iets anders dan de interne Sleutel en hoort op de inkoop-BOM.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yyyy-mm-dd"/>
    <x:numFmt numFmtId="201" formatCode="0"/>
    <x:numFmt numFmtId="202" formatCode="€ #,##0.00"/>
    <x:numFmt numFmtId="203" formatCode="0.0"/>
    <x:numFmt numFmtId="204" formatCode="0.0#"/>
    <x:numFmt numFmtId="205" formatCode="#,##0"/>
  </x:numFmts>
  <x:fonts count="15">
    <x:font>
      <x:sz val="11"/>
      <x:name val="Carlito"/>
    </x:font>
    <x:font>
      <x:b/>
      <x:sz val="16"/>
      <x:color rgb="FFFFFFFF"/>
      <x:name val="Carlito"/>
    </x:font>
    <x:font>
      <x:i/>
      <x:sz val="11"/>
      <x:color rgb="FF23313D"/>
      <x:name val="Carlito"/>
    </x:font>
    <x:font>
      <x:b/>
      <x:sz val="11"/>
      <x:color rgb="FFFFFFFF"/>
      <x:name val="Carlito"/>
    </x:font>
    <x:font>
      <x:b/>
      <x:sz val="18"/>
      <x:color rgb="FFFFFFFF"/>
      <x:name val="Carlito"/>
    </x:font>
    <x:font>
      <x:sz val="11"/>
      <x:color rgb="FF23313D"/>
      <x:name val="Carlito"/>
    </x:font>
    <x:font>
      <x:sz val="11"/>
      <x:color rgb="FF111111"/>
      <x:name val="Carlito"/>
    </x:font>
    <x:font>
      <x:b/>
      <x:sz val="10"/>
      <x:color rgb="FFFFFFFF"/>
      <x:name val="Carlito"/>
    </x:font>
    <x:font>
      <x:sz val="10"/>
      <x:color rgb="FF111111"/>
      <x:name val="Carlito"/>
    </x:font>
    <x:font>
      <x:b/>
      <x:sz val="10"/>
      <x:color rgb="FF9C1C1C"/>
      <x:name val="Carlito"/>
    </x:font>
    <x:font>
      <x:b/>
      <x:sz val="12"/>
      <x:color rgb="FFFFFFFF"/>
      <x:name val="Carlito"/>
    </x:font>
    <x:font>
      <x:b/>
      <x:sz val="10"/>
      <x:color rgb="FF7F6000"/>
      <x:name val="Carlito"/>
    </x:font>
    <x:font>
      <x:b/>
      <x:sz val="10"/>
      <x:color rgb="FF375623"/>
      <x:name val="Carlito"/>
    </x:font>
    <x:font>
      <x:i/>
      <x:sz val="11"/>
      <x:color rgb="FF536675"/>
      <x:name val="Carlito"/>
    </x:font>
    <x:font>
      <x:sz val="11"/>
      <x:color rgb="FF17324D"/>
      <x:name val="Carlito"/>
    </x:font>
  </x:fonts>
  <x:fills count="68">
    <x:fill>
      <x:patternFill patternType="none"/>
    </x:fill>
    <x:fill>
      <x:patternFill patternType="gray125"/>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2A7F7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8F1F6"/>
      </x:patternFill>
    </x:fill>
    <x:fill>
      <x:patternFill patternType="solid">
        <x:fgColor rgb="FF286782"/>
      </x:patternFill>
    </x:fill>
    <x:fill>
      <x:patternFill patternType="solid">
        <x:fgColor rgb="FF17324D"/>
      </x:patternFill>
    </x:fill>
    <x:fill>
      <x:patternFill patternType="solid">
        <x:fgColor rgb="FFEAF2F6"/>
      </x:patternFill>
    </x:fill>
    <x:fill>
      <x:patternFill patternType="solid">
        <x:fgColor rgb="FF245B78"/>
      </x:patternFill>
    </x:fill>
  </x:fills>
  <x:borders count="20">
    <x:border/>
    <x:border>
      <x:left style="thin">
        <x:color rgb="FFCBD5DC"/>
      </x:left>
      <x:top style="thin">
        <x:color rgb="FFCBD5DC"/>
      </x:top>
      <x:bottom style="thin">
        <x:color rgb="FFCBD5DC"/>
      </x:bottom>
    </x:border>
    <x:border>
      <x:top style="thin">
        <x:color rgb="FFCBD5DC"/>
      </x:top>
      <x:bottom style="thin">
        <x:color rgb="FFCBD5DC"/>
      </x:bottom>
    </x:border>
    <x:border>
      <x:right style="thin">
        <x:color rgb="FFCBD5DC"/>
      </x:right>
      <x:top style="thin">
        <x:color rgb="FFCBD5DC"/>
      </x:top>
      <x:bottom style="thin">
        <x:color rgb="FFCBD5DC"/>
      </x:bottom>
    </x:border>
    <x:border>
      <x:bottom style="thin">
        <x:color rgb="FFCBD5DC"/>
      </x:bottom>
    </x:border>
    <x:border>
      <x:top style="thin">
        <x:color rgb="FFCBD5DC"/>
      </x:top>
    </x:border>
    <x:border>
      <x:left style="thin">
        <x:color rgb="FFCBD5DC"/>
      </x:left>
      <x:top style="thin">
        <x:color rgb="FFCBD5DC"/>
      </x:top>
    </x:border>
    <x:border>
      <x:right style="thin">
        <x:color rgb="FFCBD5DC"/>
      </x:right>
      <x:top style="thin">
        <x:color rgb="FFCBD5DC"/>
      </x:top>
    </x:border>
    <x:border>
      <x:left style="thin">
        <x:color rgb="FFCBD5DC"/>
      </x:left>
    </x:border>
    <x:border>
      <x:right style="thin">
        <x:color rgb="FFCBD5DC"/>
      </x:right>
    </x:border>
    <x:border>
      <x:left style="thin">
        <x:color rgb="FFCBD5DC"/>
      </x:left>
      <x:bottom style="thin">
        <x:color rgb="FFCBD5DC"/>
      </x:bottom>
    </x:border>
    <x:border>
      <x:right style="thin">
        <x:color rgb="FFCBD5DC"/>
      </x:right>
      <x:bottom style="thin">
        <x:color rgb="FFCBD5DC"/>
      </x:bottom>
    </x:border>
    <x:border>
      <x:left style="thin">
        <x:color rgb="FFD9D9D9"/>
      </x:left>
      <x:right style="thin">
        <x:color rgb="FFD9D9D9"/>
      </x:right>
      <x:top style="thin">
        <x:color rgb="FFD9D9D9"/>
      </x:top>
      <x:bottom style="thin">
        <x:color rgb="FFD9D9D9"/>
      </x:bottom>
    </x:border>
    <x:border>
      <x:left style="thin">
        <x:color rgb="FFCBD5DC"/>
      </x:left>
      <x:right style="thin">
        <x:color rgb="FFCBD5DC"/>
      </x:right>
      <x:top style="thin">
        <x:color rgb="FFCBD5DC"/>
      </x:top>
      <x:bottom style="thin">
        <x:color rgb="FFCBD5DC"/>
      </x:bottom>
    </x:border>
    <x:border>
      <x:left style="thin">
        <x:color rgb="FFA9BEC9"/>
      </x:left>
      <x:top style="thin">
        <x:color rgb="FFA9BEC9"/>
      </x:top>
    </x:border>
    <x:border>
      <x:right style="thin">
        <x:color rgb="FFA9BEC9"/>
      </x:right>
      <x:top style="thin">
        <x:color rgb="FFA9BEC9"/>
      </x:top>
    </x:border>
    <x:border>
      <x:left style="thin">
        <x:color rgb="FFA9BEC9"/>
      </x:left>
    </x:border>
    <x:border>
      <x:right style="thin">
        <x:color rgb="FFA9BEC9"/>
      </x:right>
    </x:border>
    <x:border>
      <x:left style="thin">
        <x:color rgb="FFA9BEC9"/>
      </x:left>
      <x:bottom style="thin">
        <x:color rgb="FFA9BEC9"/>
      </x:bottom>
    </x:border>
    <x:border>
      <x:right style="thin">
        <x:color rgb="FFA9BEC9"/>
      </x:right>
      <x:bottom style="thin">
        <x:color rgb="FFA9BEC9"/>
      </x:bottom>
    </x:border>
  </x:borders>
  <x:cellStyleXfs count="1">
    <x:xf numFmtId="0" fontId="0" fillId="0" borderId="0"/>
  </x:cellStyleXfs>
  <x:cellXfs count="411">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201" fontId="0" fillId="0" borderId="9" xfId="0" applyNumberFormat="1" applyFont="1" applyFill="1" applyBorder="1"/>
    <x:xf numFmtId="201" fontId="0" fillId="0" borderId="1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0" borderId="4" xfId="0" applyNumberFormat="1" applyFont="1" applyFill="1" applyBorder="1"/>
    <x:xf numFmtId="0" fontId="0" fillId="0" borderId="2"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5" xfId="0" applyNumberFormat="1" applyFont="1" applyFill="1" applyBorder="1" applyAlignment="1">
      <x:alignment wrapText="1"/>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3" fillId="9" borderId="0" xfId="0" applyNumberFormat="1" applyFont="1" applyFill="1" applyBorder="1" applyAlignment="1">
      <x:alignment wrapText="1"/>
    </x:xf>
    <x:xf numFmtId="0" fontId="3" fillId="9" borderId="1" xfId="0" applyNumberFormat="1" applyFont="1" applyFill="1" applyBorder="1" applyAlignment="1">
      <x:alignment wrapText="1"/>
    </x:xf>
    <x:xf numFmtId="0" fontId="3" fillId="9" borderId="2" xfId="0" applyNumberFormat="1" applyFont="1" applyFill="1" applyBorder="1" applyAlignment="1">
      <x:alignment wrapText="1"/>
    </x:xf>
    <x:xf numFmtId="0" fontId="3" fillId="9" borderId="3" xfId="0" applyNumberFormat="1" applyFont="1" applyFill="1" applyBorder="1" applyAlignment="1">
      <x:alignment wrapText="1"/>
    </x:xf>
    <x:xf numFmtId="202" fontId="0" fillId="0" borderId="4" xfId="0" applyNumberFormat="1" applyFont="1" applyFill="1" applyBorder="1" applyAlignment="1">
      <x:alignment wrapText="1"/>
    </x:xf>
    <x:xf numFmtId="202" fontId="0" fillId="0" borderId="2" xfId="0" applyNumberFormat="1" applyFont="1" applyFill="1" applyBorder="1" applyAlignment="1">
      <x:alignment wrapText="1"/>
    </x:xf>
    <x:xf numFmtId="202" fontId="0" fillId="0" borderId="5" xfId="0" applyNumberFormat="1" applyFont="1" applyFill="1" applyBorder="1" applyAlignment="1">
      <x:alignment wrapText="1"/>
    </x:xf>
    <x:xf numFmtId="203" fontId="0" fillId="0" borderId="4" xfId="0" applyNumberFormat="1" applyFont="1" applyFill="1" applyBorder="1" applyAlignment="1">
      <x:alignment wrapText="1"/>
    </x:xf>
    <x:xf numFmtId="203" fontId="0" fillId="0" borderId="2" xfId="0" applyNumberFormat="1" applyFont="1" applyFill="1" applyBorder="1" applyAlignment="1">
      <x:alignment wrapText="1"/>
    </x:xf>
    <x:xf numFmtId="203" fontId="0" fillId="0" borderId="5" xfId="0" applyNumberFormat="1" applyFont="1" applyFill="1" applyBorder="1" applyAlignment="1">
      <x:alignment wrapText="1"/>
    </x:xf>
    <x:xf numFmtId="200" fontId="0" fillId="0" borderId="4" xfId="0" applyNumberFormat="1" applyFont="1" applyFill="1" applyBorder="1" applyAlignment="1">
      <x:alignment wrapText="1"/>
    </x:xf>
    <x:xf numFmtId="200" fontId="0" fillId="0" borderId="2" xfId="0" applyNumberFormat="1" applyFont="1" applyFill="1" applyBorder="1" applyAlignment="1">
      <x:alignment wrapText="1"/>
    </x:xf>
    <x:xf numFmtId="200" fontId="0" fillId="0" borderId="5" xfId="0" applyNumberFormat="1" applyFont="1" applyFill="1" applyBorder="1" applyAlignment="1">
      <x:alignment wrapText="1"/>
    </x:xf>
    <x:xf numFmtId="0" fontId="0" fillId="0" borderId="1" xfId="0" applyNumberFormat="1" applyFont="1" applyFill="1" applyBorder="1"/>
    <x:xf numFmtId="0" fontId="0" fillId="0" borderId="3"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12" xfId="0" applyNumberFormat="1" applyFont="1" applyFill="1" applyBorder="1"/>
    <x:xf numFmtId="0" fontId="6" fillId="10" borderId="12" xfId="0" applyNumberFormat="1" applyFont="1" applyFill="1" applyBorder="1" applyAlignment="1">
      <x:alignment wrapText="1"/>
    </x:xf>
    <x:xf numFmtId="0" fontId="6" fillId="10" borderId="12" xfId="0" applyNumberFormat="1" applyFont="1" applyFill="1" applyBorder="1" applyAlignment="1">
      <x:alignment vertical="center" wrapText="1"/>
    </x:xf>
    <x:xf numFmtId="200" fontId="6" fillId="10" borderId="12" xfId="0" applyNumberFormat="1" applyFont="1" applyFill="1" applyBorder="1" applyAlignment="1">
      <x:alignment vertical="center" wrapText="1"/>
    </x:xf>
    <x:xf numFmtId="0" fontId="0" fillId="11" borderId="0" xfId="0" applyNumberFormat="1" applyFont="1" applyFill="1" applyBorder="1"/>
    <x:xf numFmtId="0" fontId="6" fillId="11" borderId="0" xfId="0" applyNumberFormat="1" applyFont="1" applyFill="1" applyBorder="1"/>
    <x:xf numFmtId="0" fontId="6" fillId="11" borderId="12" xfId="0" applyNumberFormat="1" applyFont="1" applyFill="1" applyBorder="1"/>
    <x:xf numFmtId="0" fontId="6" fillId="11" borderId="12" xfId="0" applyNumberFormat="1" applyFont="1" applyFill="1" applyBorder="1" applyAlignment="1">
      <x:alignment wrapText="1"/>
    </x:xf>
    <x:xf numFmtId="0" fontId="6" fillId="11" borderId="12" xfId="0" applyNumberFormat="1" applyFont="1" applyFill="1" applyBorder="1" applyAlignment="1">
      <x:alignment vertical="center" wrapText="1"/>
    </x:xf>
    <x:xf numFmtId="200" fontId="6" fillId="11" borderId="12"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3" xfId="0" applyNumberFormat="1" applyFont="1" applyFill="1" applyBorder="1"/>
    <x:xf numFmtId="0" fontId="3" fillId="12" borderId="13" xfId="0" applyNumberFormat="1" applyFont="1" applyFill="1" applyBorder="1" applyAlignment="1">
      <x:alignment wrapText="1"/>
    </x:xf>
    <x:xf numFmtId="0" fontId="3" fillId="12" borderId="13" xfId="0" applyNumberFormat="1" applyFont="1" applyFill="1" applyBorder="1" applyAlignment="1">
      <x:alignment horizontal="center" wrapText="1"/>
    </x:xf>
    <x:xf numFmtId="0" fontId="3" fillId="12" borderId="13" xfId="0" applyNumberFormat="1" applyFont="1" applyFill="1" applyBorder="1" applyAlignment="1">
      <x:alignment horizontal="center" vertical="center" wrapText="1"/>
    </x:xf>
    <x:xf numFmtId="0" fontId="0" fillId="13" borderId="0" xfId="0" applyNumberFormat="1" applyFont="1" applyFill="1" applyBorder="1"/>
    <x:xf numFmtId="0" fontId="6" fillId="13" borderId="0" xfId="0" applyNumberFormat="1" applyFont="1" applyFill="1" applyBorder="1"/>
    <x:xf numFmtId="0" fontId="6" fillId="13" borderId="13" xfId="0" applyNumberFormat="1" applyFont="1" applyFill="1" applyBorder="1"/>
    <x:xf numFmtId="0" fontId="6" fillId="13" borderId="13" xfId="0" applyNumberFormat="1" applyFont="1" applyFill="1" applyBorder="1" applyAlignment="1">
      <x:alignment wrapText="1"/>
    </x:xf>
    <x:xf numFmtId="0" fontId="6" fillId="13" borderId="13" xfId="0" applyNumberFormat="1" applyFont="1" applyFill="1" applyBorder="1" applyAlignment="1">
      <x:alignment horizontal="center" wrapText="1"/>
    </x:xf>
    <x:xf numFmtId="0" fontId="6" fillId="13" borderId="13" xfId="0" applyNumberFormat="1" applyFont="1" applyFill="1" applyBorder="1" applyAlignment="1">
      <x:alignment horizontal="center" vertical="center" wrapText="1"/>
    </x:xf>
    <x:xf numFmtId="204" fontId="6" fillId="13" borderId="13"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13" xfId="0" applyNumberFormat="1" applyFont="1" applyFill="1" applyBorder="1"/>
    <x:xf numFmtId="0" fontId="6" fillId="14" borderId="13" xfId="0" applyNumberFormat="1" applyFont="1" applyFill="1" applyBorder="1" applyAlignment="1">
      <x:alignment wrapText="1"/>
    </x:xf>
    <x:xf numFmtId="0" fontId="6" fillId="14" borderId="13" xfId="0" applyNumberFormat="1" applyFont="1" applyFill="1" applyBorder="1" applyAlignment="1">
      <x:alignment horizontal="center" wrapText="1"/>
    </x:xf>
    <x:xf numFmtId="0" fontId="6" fillId="14" borderId="13" xfId="0" applyNumberFormat="1" applyFont="1" applyFill="1" applyBorder="1" applyAlignment="1">
      <x:alignment horizontal="center" vertical="center" wrapText="1"/>
    </x:xf>
    <x:xf numFmtId="204" fontId="6" fillId="14" borderId="13" xfId="0" applyNumberFormat="1" applyFont="1" applyFill="1" applyBorder="1" applyAlignment="1">
      <x:alignment horizontal="center" vertical="center" wrapText="1"/>
    </x:xf>
    <x:xf numFmtId="0" fontId="6" fillId="13" borderId="12" xfId="0" applyNumberFormat="1" applyFont="1" applyFill="1" applyBorder="1"/>
    <x:xf numFmtId="0" fontId="6" fillId="13" borderId="12" xfId="0" applyNumberFormat="1" applyFont="1" applyFill="1" applyBorder="1" applyAlignment="1">
      <x:alignment wrapText="1"/>
    </x:xf>
    <x:xf numFmtId="0" fontId="6" fillId="13" borderId="12" xfId="0" applyNumberFormat="1" applyFont="1" applyFill="1" applyBorder="1" applyAlignment="1">
      <x:alignment vertical="center" wrapText="1"/>
    </x:xf>
    <x:xf numFmtId="200" fontId="6" fillId="13" borderId="12"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12" xfId="0" applyNumberFormat="1" applyFont="1" applyFill="1" applyBorder="1"/>
    <x:xf numFmtId="0" fontId="6" fillId="15" borderId="12" xfId="0" applyNumberFormat="1" applyFont="1" applyFill="1" applyBorder="1" applyAlignment="1">
      <x:alignment wrapText="1"/>
    </x:xf>
    <x:xf numFmtId="0" fontId="6" fillId="15" borderId="12" xfId="0" applyNumberFormat="1" applyFont="1" applyFill="1" applyBorder="1" applyAlignment="1">
      <x:alignment vertical="center" wrapText="1"/>
    </x:xf>
    <x:xf numFmtId="200" fontId="6" fillId="15" borderId="12"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7" fillId="18" borderId="0" xfId="0" applyNumberFormat="1" applyFont="1" applyFill="1" applyBorder="1"/>
    <x:xf numFmtId="0" fontId="7" fillId="18" borderId="13" xfId="0" applyNumberFormat="1" applyFont="1" applyFill="1" applyBorder="1"/>
    <x:xf numFmtId="0" fontId="7" fillId="18" borderId="13" xfId="0" applyNumberFormat="1" applyFont="1" applyFill="1" applyBorder="1" applyAlignment="1">
      <x:alignment wrapText="1"/>
    </x:xf>
    <x:xf numFmtId="0" fontId="7" fillId="18" borderId="13" xfId="0" applyNumberFormat="1" applyFont="1" applyFill="1" applyBorder="1" applyAlignment="1">
      <x:alignment horizontal="center" wrapText="1"/>
    </x:xf>
    <x:xf numFmtId="0" fontId="7" fillId="18" borderId="13" xfId="0" applyNumberFormat="1" applyFont="1" applyFill="1" applyBorder="1" applyAlignment="1">
      <x:alignment horizontal="center" vertical="center" wrapText="1"/>
    </x:xf>
    <x:xf numFmtId="0" fontId="0" fillId="19" borderId="0" xfId="0" applyNumberFormat="1" applyFont="1" applyFill="1" applyBorder="1"/>
    <x:xf numFmtId="0" fontId="8" fillId="19" borderId="0" xfId="0" applyNumberFormat="1" applyFont="1" applyFill="1" applyBorder="1"/>
    <x:xf numFmtId="0" fontId="8" fillId="19" borderId="13" xfId="0" applyNumberFormat="1" applyFont="1" applyFill="1" applyBorder="1"/>
    <x:xf numFmtId="0" fontId="8" fillId="19" borderId="13" xfId="0" applyNumberFormat="1" applyFont="1" applyFill="1" applyBorder="1" applyAlignment="1">
      <x:alignment wrapText="1"/>
    </x:xf>
    <x:xf numFmtId="0" fontId="8" fillId="19" borderId="13" xfId="0" applyNumberFormat="1" applyFont="1" applyFill="1" applyBorder="1" applyAlignment="1">
      <x:alignment vertical="center" wrapText="1"/>
    </x:xf>
    <x:xf numFmtId="0" fontId="0" fillId="20" borderId="0" xfId="0" applyNumberFormat="1" applyFont="1" applyFill="1" applyBorder="1"/>
    <x:xf numFmtId="0" fontId="8" fillId="20" borderId="0" xfId="0" applyNumberFormat="1" applyFont="1" applyFill="1" applyBorder="1"/>
    <x:xf numFmtId="0" fontId="8" fillId="20" borderId="13" xfId="0" applyNumberFormat="1" applyFont="1" applyFill="1" applyBorder="1"/>
    <x:xf numFmtId="0" fontId="8" fillId="20" borderId="13" xfId="0" applyNumberFormat="1" applyFont="1" applyFill="1" applyBorder="1" applyAlignment="1">
      <x:alignment wrapText="1"/>
    </x:xf>
    <x:xf numFmtId="0" fontId="8" fillId="20" borderId="13" xfId="0" applyNumberFormat="1" applyFont="1" applyFill="1" applyBorder="1" applyAlignment="1">
      <x:alignment vertical="center" wrapText="1"/>
    </x:xf>
    <x:xf numFmtId="0" fontId="8" fillId="21" borderId="13" xfId="0" applyNumberFormat="1" applyFont="1" applyFill="1" applyBorder="1" applyAlignment="1">
      <x:alignment vertical="center" wrapText="1"/>
    </x:xf>
    <x:xf numFmtId="0" fontId="8" fillId="22" borderId="13" xfId="0" applyNumberFormat="1" applyFont="1" applyFill="1" applyBorder="1" applyAlignment="1">
      <x:alignment vertical="center" wrapText="1"/>
    </x:xf>
    <x:xf numFmtId="0" fontId="9" fillId="22" borderId="13" xfId="0" applyNumberFormat="1" applyFont="1" applyFill="1" applyBorder="1" applyAlignment="1">
      <x:alignment vertical="center" wrapText="1"/>
    </x:xf>
    <x:xf numFmtId="204" fontId="8" fillId="19" borderId="13" xfId="0" applyNumberFormat="1" applyFont="1" applyFill="1" applyBorder="1" applyAlignment="1">
      <x:alignment vertical="center" wrapText="1"/>
    </x:xf>
    <x:xf numFmtId="204" fontId="8" fillId="20" borderId="13" xfId="0" applyNumberFormat="1" applyFont="1" applyFill="1" applyBorder="1" applyAlignment="1">
      <x:alignment vertical="center" wrapText="1"/>
    </x:xf>
    <x:xf numFmtId="205" fontId="8" fillId="19" borderId="13" xfId="0" applyNumberFormat="1" applyFont="1" applyFill="1" applyBorder="1" applyAlignment="1">
      <x:alignment vertical="center" wrapText="1"/>
    </x:xf>
    <x:xf numFmtId="205" fontId="8" fillId="20" borderId="13" xfId="0" applyNumberFormat="1" applyFont="1" applyFill="1" applyBorder="1" applyAlignment="1">
      <x:alignment vertical="center" wrapText="1"/>
    </x:xf>
    <x:xf numFmtId="0" fontId="10" fillId="16" borderId="0" xfId="0" applyNumberFormat="1" applyFont="1" applyFill="1" applyBorder="1"/>
    <x:xf numFmtId="0" fontId="10" fillId="16" borderId="0" xfId="0" applyNumberFormat="1" applyFont="1" applyFill="1" applyBorder="1" applyAlignment="1">
      <x:alignment vertical="center"/>
    </x:xf>
    <x:xf numFmtId="0" fontId="6" fillId="19" borderId="0" xfId="0" applyNumberFormat="1" applyFont="1" applyFill="1" applyBorder="1"/>
    <x:xf numFmtId="0" fontId="6" fillId="19" borderId="12" xfId="0" applyNumberFormat="1" applyFont="1" applyFill="1" applyBorder="1"/>
    <x:xf numFmtId="0" fontId="6" fillId="19" borderId="12" xfId="0" applyNumberFormat="1" applyFont="1" applyFill="1" applyBorder="1" applyAlignment="1">
      <x:alignment wrapText="1"/>
    </x:xf>
    <x:xf numFmtId="0" fontId="6" fillId="19" borderId="12" xfId="0" applyNumberFormat="1" applyFont="1" applyFill="1" applyBorder="1" applyAlignment="1">
      <x:alignment vertical="center" wrapText="1"/>
    </x:xf>
    <x:xf numFmtId="200" fontId="6" fillId="19" borderId="12" xfId="0" applyNumberFormat="1" applyFont="1" applyFill="1" applyBorder="1" applyAlignment="1">
      <x:alignment vertical="center"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2" fillId="24" borderId="0" xfId="0" applyNumberFormat="1" applyFont="1" applyFill="1" applyBorder="1"/>
    <x:xf numFmtId="0" fontId="2" fillId="24" borderId="0" xfId="0" applyNumberFormat="1" applyFont="1" applyFill="1" applyBorder="1" applyAlignment="1">
      <x:alignment wrapText="1"/>
    </x:xf>
    <x:xf numFmtId="0" fontId="2" fillId="24" borderId="0" xfId="0" applyNumberFormat="1" applyFont="1" applyFill="1" applyBorder="1" applyAlignment="1">
      <x:alignment vertical="center" wrapText="1"/>
    </x:xf>
    <x:xf numFmtId="0" fontId="0" fillId="25" borderId="0" xfId="0" applyNumberFormat="1" applyFont="1" applyFill="1" applyBorder="1"/>
    <x:xf numFmtId="0" fontId="7" fillId="25" borderId="0" xfId="0" applyNumberFormat="1" applyFont="1" applyFill="1" applyBorder="1"/>
    <x:xf numFmtId="0" fontId="7" fillId="25" borderId="13" xfId="0" applyNumberFormat="1" applyFont="1" applyFill="1" applyBorder="1"/>
    <x:xf numFmtId="0" fontId="7" fillId="25" borderId="13" xfId="0" applyNumberFormat="1" applyFont="1" applyFill="1" applyBorder="1" applyAlignment="1">
      <x:alignment wrapText="1"/>
    </x:xf>
    <x:xf numFmtId="0" fontId="7" fillId="25" borderId="13" xfId="0" applyNumberFormat="1" applyFont="1" applyFill="1" applyBorder="1" applyAlignment="1">
      <x:alignment horizontal="center" wrapText="1"/>
    </x:xf>
    <x:xf numFmtId="0" fontId="7" fillId="25" borderId="13" xfId="0" applyNumberFormat="1" applyFont="1" applyFill="1" applyBorder="1" applyAlignment="1">
      <x:alignment horizontal="center" vertical="center" wrapText="1"/>
    </x:xf>
    <x:xf numFmtId="0" fontId="0" fillId="26" borderId="0" xfId="0" applyNumberFormat="1" applyFont="1" applyFill="1" applyBorder="1"/>
    <x:xf numFmtId="0" fontId="8" fillId="26" borderId="0" xfId="0" applyNumberFormat="1" applyFont="1" applyFill="1" applyBorder="1"/>
    <x:xf numFmtId="0" fontId="8" fillId="26" borderId="13" xfId="0" applyNumberFormat="1" applyFont="1" applyFill="1" applyBorder="1"/>
    <x:xf numFmtId="0" fontId="8" fillId="26" borderId="13" xfId="0" applyNumberFormat="1" applyFont="1" applyFill="1" applyBorder="1" applyAlignment="1">
      <x:alignment wrapText="1"/>
    </x:xf>
    <x:xf numFmtId="0" fontId="8" fillId="26" borderId="13" xfId="0" applyNumberFormat="1" applyFont="1" applyFill="1" applyBorder="1" applyAlignment="1">
      <x:alignment vertical="center" wrapText="1"/>
    </x:xf>
    <x:xf numFmtId="0" fontId="0" fillId="27" borderId="0" xfId="0" applyNumberFormat="1" applyFont="1" applyFill="1" applyBorder="1"/>
    <x:xf numFmtId="0" fontId="8" fillId="27" borderId="0" xfId="0" applyNumberFormat="1" applyFont="1" applyFill="1" applyBorder="1"/>
    <x:xf numFmtId="0" fontId="8" fillId="27" borderId="13" xfId="0" applyNumberFormat="1" applyFont="1" applyFill="1" applyBorder="1"/>
    <x:xf numFmtId="0" fontId="8" fillId="27" borderId="13" xfId="0" applyNumberFormat="1" applyFont="1" applyFill="1" applyBorder="1" applyAlignment="1">
      <x:alignment wrapText="1"/>
    </x:xf>
    <x:xf numFmtId="0" fontId="8" fillId="27" borderId="13" xfId="0" applyNumberFormat="1" applyFont="1" applyFill="1" applyBorder="1" applyAlignment="1">
      <x:alignment vertical="center" wrapText="1"/>
    </x:xf>
    <x:xf numFmtId="0" fontId="8" fillId="28" borderId="13" xfId="0" applyNumberFormat="1" applyFont="1" applyFill="1" applyBorder="1" applyAlignment="1">
      <x:alignment vertical="center" wrapText="1"/>
    </x:xf>
    <x:xf numFmtId="0" fontId="8" fillId="29" borderId="13" xfId="0" applyNumberFormat="1" applyFont="1" applyFill="1" applyBorder="1" applyAlignment="1">
      <x:alignment vertical="center" wrapText="1"/>
    </x:xf>
    <x:xf numFmtId="0" fontId="9" fillId="29" borderId="13" xfId="0" applyNumberFormat="1" applyFont="1" applyFill="1" applyBorder="1" applyAlignment="1">
      <x:alignment vertical="center" wrapText="1"/>
    </x:xf>
    <x:xf numFmtId="204" fontId="8" fillId="26" borderId="13" xfId="0" applyNumberFormat="1" applyFont="1" applyFill="1" applyBorder="1" applyAlignment="1">
      <x:alignment vertical="center" wrapText="1"/>
    </x:xf>
    <x:xf numFmtId="204" fontId="8" fillId="27" borderId="13" xfId="0" applyNumberFormat="1" applyFont="1" applyFill="1" applyBorder="1" applyAlignment="1">
      <x:alignment vertical="center" wrapText="1"/>
    </x:xf>
    <x:xf numFmtId="205" fontId="8" fillId="26" borderId="13" xfId="0" applyNumberFormat="1" applyFont="1" applyFill="1" applyBorder="1" applyAlignment="1">
      <x:alignment vertical="center" wrapText="1"/>
    </x:xf>
    <x:xf numFmtId="205" fontId="8" fillId="27" borderId="13" xfId="0" applyNumberFormat="1" applyFont="1" applyFill="1" applyBorder="1" applyAlignment="1">
      <x:alignment vertical="center" wrapText="1"/>
    </x:xf>
    <x:xf numFmtId="0" fontId="10" fillId="23" borderId="0" xfId="0" applyNumberFormat="1" applyFont="1" applyFill="1" applyBorder="1"/>
    <x:xf numFmtId="0" fontId="10" fillId="23" borderId="0" xfId="0" applyNumberFormat="1" applyFont="1" applyFill="1" applyBorder="1" applyAlignment="1">
      <x:alignment vertical="center"/>
    </x:xf>
    <x:xf numFmtId="0" fontId="6" fillId="26" borderId="0" xfId="0" applyNumberFormat="1" applyFont="1" applyFill="1" applyBorder="1"/>
    <x:xf numFmtId="0" fontId="6" fillId="26" borderId="12" xfId="0" applyNumberFormat="1" applyFont="1" applyFill="1" applyBorder="1"/>
    <x:xf numFmtId="0" fontId="6" fillId="26" borderId="12" xfId="0" applyNumberFormat="1" applyFont="1" applyFill="1" applyBorder="1" applyAlignment="1">
      <x:alignment wrapText="1"/>
    </x:xf>
    <x:xf numFmtId="0" fontId="6" fillId="26" borderId="12" xfId="0" applyNumberFormat="1" applyFont="1" applyFill="1" applyBorder="1" applyAlignment="1">
      <x:alignment vertical="center" wrapText="1"/>
    </x:xf>
    <x:xf numFmtId="200" fontId="6" fillId="26" borderId="12" xfId="0" applyNumberFormat="1" applyFont="1" applyFill="1" applyBorder="1" applyAlignment="1">
      <x:alignment vertical="center" wrapText="1"/>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7" fillId="32" borderId="0" xfId="0" applyNumberFormat="1" applyFont="1" applyFill="1" applyBorder="1"/>
    <x:xf numFmtId="0" fontId="7" fillId="32" borderId="13" xfId="0" applyNumberFormat="1" applyFont="1" applyFill="1" applyBorder="1"/>
    <x:xf numFmtId="0" fontId="7" fillId="32" borderId="13" xfId="0" applyNumberFormat="1" applyFont="1" applyFill="1" applyBorder="1" applyAlignment="1">
      <x:alignment wrapText="1"/>
    </x:xf>
    <x:xf numFmtId="0" fontId="7" fillId="32" borderId="13" xfId="0" applyNumberFormat="1" applyFont="1" applyFill="1" applyBorder="1" applyAlignment="1">
      <x:alignment horizontal="center" wrapText="1"/>
    </x:xf>
    <x:xf numFmtId="0" fontId="7" fillId="32" borderId="13" xfId="0" applyNumberFormat="1" applyFont="1" applyFill="1" applyBorder="1" applyAlignment="1">
      <x:alignment horizontal="center" vertical="center" wrapText="1"/>
    </x:xf>
    <x:xf numFmtId="0" fontId="0" fillId="33" borderId="0" xfId="0" applyNumberFormat="1" applyFont="1" applyFill="1" applyBorder="1"/>
    <x:xf numFmtId="0" fontId="8" fillId="33" borderId="0" xfId="0" applyNumberFormat="1" applyFont="1" applyFill="1" applyBorder="1"/>
    <x:xf numFmtId="0" fontId="8" fillId="33" borderId="13" xfId="0" applyNumberFormat="1" applyFont="1" applyFill="1" applyBorder="1"/>
    <x:xf numFmtId="0" fontId="8" fillId="33" borderId="13" xfId="0" applyNumberFormat="1" applyFont="1" applyFill="1" applyBorder="1" applyAlignment="1">
      <x:alignment wrapText="1"/>
    </x:xf>
    <x:xf numFmtId="0" fontId="8" fillId="33" borderId="13" xfId="0" applyNumberFormat="1" applyFont="1" applyFill="1" applyBorder="1" applyAlignment="1">
      <x:alignment vertical="center" wrapText="1"/>
    </x:xf>
    <x:xf numFmtId="0" fontId="0" fillId="34" borderId="0" xfId="0" applyNumberFormat="1" applyFont="1" applyFill="1" applyBorder="1"/>
    <x:xf numFmtId="0" fontId="8" fillId="34" borderId="0" xfId="0" applyNumberFormat="1" applyFont="1" applyFill="1" applyBorder="1"/>
    <x:xf numFmtId="0" fontId="8" fillId="34" borderId="13" xfId="0" applyNumberFormat="1" applyFont="1" applyFill="1" applyBorder="1"/>
    <x:xf numFmtId="0" fontId="8" fillId="34" borderId="13" xfId="0" applyNumberFormat="1" applyFont="1" applyFill="1" applyBorder="1" applyAlignment="1">
      <x:alignment wrapText="1"/>
    </x:xf>
    <x:xf numFmtId="0" fontId="8" fillId="34" borderId="13" xfId="0" applyNumberFormat="1" applyFont="1" applyFill="1" applyBorder="1" applyAlignment="1">
      <x:alignment vertical="center" wrapText="1"/>
    </x:xf>
    <x:xf numFmtId="0" fontId="8" fillId="35" borderId="13" xfId="0" applyNumberFormat="1" applyFont="1" applyFill="1" applyBorder="1" applyAlignment="1">
      <x:alignment vertical="center" wrapText="1"/>
    </x:xf>
    <x:xf numFmtId="0" fontId="8" fillId="36" borderId="13" xfId="0" applyNumberFormat="1" applyFont="1" applyFill="1" applyBorder="1" applyAlignment="1">
      <x:alignment vertical="center" wrapText="1"/>
    </x:xf>
    <x:xf numFmtId="0" fontId="9" fillId="36" borderId="13" xfId="0" applyNumberFormat="1" applyFont="1" applyFill="1" applyBorder="1" applyAlignment="1">
      <x:alignment vertical="center" wrapText="1"/>
    </x:xf>
    <x:xf numFmtId="204" fontId="8" fillId="33" borderId="13" xfId="0" applyNumberFormat="1" applyFont="1" applyFill="1" applyBorder="1" applyAlignment="1">
      <x:alignment vertical="center" wrapText="1"/>
    </x:xf>
    <x:xf numFmtId="204" fontId="8" fillId="34" borderId="13" xfId="0" applyNumberFormat="1" applyFont="1" applyFill="1" applyBorder="1" applyAlignment="1">
      <x:alignment vertical="center" wrapText="1"/>
    </x:xf>
    <x:xf numFmtId="205" fontId="8" fillId="33" borderId="13" xfId="0" applyNumberFormat="1" applyFont="1" applyFill="1" applyBorder="1" applyAlignment="1">
      <x:alignment vertical="center" wrapText="1"/>
    </x:xf>
    <x:xf numFmtId="205" fontId="8" fillId="34" borderId="13" xfId="0" applyNumberFormat="1" applyFont="1" applyFill="1" applyBorder="1" applyAlignment="1">
      <x:alignment vertical="center" wrapText="1"/>
    </x:xf>
    <x:xf numFmtId="0" fontId="10" fillId="30" borderId="0" xfId="0" applyNumberFormat="1" applyFont="1" applyFill="1" applyBorder="1"/>
    <x:xf numFmtId="0" fontId="10" fillId="30" borderId="0" xfId="0" applyNumberFormat="1" applyFont="1" applyFill="1" applyBorder="1" applyAlignment="1">
      <x:alignment vertical="center"/>
    </x:xf>
    <x:xf numFmtId="0" fontId="6" fillId="33" borderId="0" xfId="0" applyNumberFormat="1" applyFont="1" applyFill="1" applyBorder="1"/>
    <x:xf numFmtId="0" fontId="6" fillId="33" borderId="12" xfId="0" applyNumberFormat="1" applyFont="1" applyFill="1" applyBorder="1"/>
    <x:xf numFmtId="0" fontId="6" fillId="33" borderId="12" xfId="0" applyNumberFormat="1" applyFont="1" applyFill="1" applyBorder="1" applyAlignment="1">
      <x:alignment wrapText="1"/>
    </x:xf>
    <x:xf numFmtId="0" fontId="6" fillId="33" borderId="12" xfId="0" applyNumberFormat="1" applyFont="1" applyFill="1" applyBorder="1" applyAlignment="1">
      <x:alignment vertical="center" wrapText="1"/>
    </x:xf>
    <x:xf numFmtId="200" fontId="6" fillId="33" borderId="12" xfId="0" applyNumberFormat="1" applyFont="1" applyFill="1" applyBorder="1" applyAlignment="1">
      <x:alignment vertical="center" wrapText="1"/>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vertical="center"/>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vertical="center" wrapText="1"/>
    </x:xf>
    <x:xf numFmtId="0" fontId="0" fillId="39" borderId="0" xfId="0" applyNumberFormat="1" applyFont="1" applyFill="1" applyBorder="1"/>
    <x:xf numFmtId="0" fontId="7" fillId="39" borderId="0" xfId="0" applyNumberFormat="1" applyFont="1" applyFill="1" applyBorder="1"/>
    <x:xf numFmtId="0" fontId="7" fillId="39" borderId="13" xfId="0" applyNumberFormat="1" applyFont="1" applyFill="1" applyBorder="1"/>
    <x:xf numFmtId="0" fontId="7" fillId="39" borderId="13" xfId="0" applyNumberFormat="1" applyFont="1" applyFill="1" applyBorder="1" applyAlignment="1">
      <x:alignment wrapText="1"/>
    </x:xf>
    <x:xf numFmtId="0" fontId="7" fillId="39" borderId="13" xfId="0" applyNumberFormat="1" applyFont="1" applyFill="1" applyBorder="1" applyAlignment="1">
      <x:alignment horizontal="center" wrapText="1"/>
    </x:xf>
    <x:xf numFmtId="0" fontId="7" fillId="39" borderId="13" xfId="0" applyNumberFormat="1" applyFont="1" applyFill="1" applyBorder="1" applyAlignment="1">
      <x:alignment horizontal="center" vertical="center" wrapText="1"/>
    </x:xf>
    <x:xf numFmtId="0" fontId="0" fillId="40" borderId="0" xfId="0" applyNumberFormat="1" applyFont="1" applyFill="1" applyBorder="1"/>
    <x:xf numFmtId="0" fontId="8" fillId="40" borderId="0" xfId="0" applyNumberFormat="1" applyFont="1" applyFill="1" applyBorder="1"/>
    <x:xf numFmtId="0" fontId="8" fillId="40" borderId="13" xfId="0" applyNumberFormat="1" applyFont="1" applyFill="1" applyBorder="1"/>
    <x:xf numFmtId="0" fontId="8" fillId="40" borderId="13" xfId="0" applyNumberFormat="1" applyFont="1" applyFill="1" applyBorder="1" applyAlignment="1">
      <x:alignment wrapText="1"/>
    </x:xf>
    <x:xf numFmtId="0" fontId="8" fillId="40" borderId="13" xfId="0" applyNumberFormat="1" applyFont="1" applyFill="1" applyBorder="1" applyAlignment="1">
      <x:alignment vertical="center" wrapText="1"/>
    </x:xf>
    <x:xf numFmtId="0" fontId="0" fillId="41" borderId="0" xfId="0" applyNumberFormat="1" applyFont="1" applyFill="1" applyBorder="1"/>
    <x:xf numFmtId="0" fontId="8" fillId="41" borderId="0" xfId="0" applyNumberFormat="1" applyFont="1" applyFill="1" applyBorder="1"/>
    <x:xf numFmtId="0" fontId="8" fillId="41" borderId="13" xfId="0" applyNumberFormat="1" applyFont="1" applyFill="1" applyBorder="1"/>
    <x:xf numFmtId="0" fontId="8" fillId="41" borderId="13" xfId="0" applyNumberFormat="1" applyFont="1" applyFill="1" applyBorder="1" applyAlignment="1">
      <x:alignment wrapText="1"/>
    </x:xf>
    <x:xf numFmtId="0" fontId="8" fillId="41" borderId="13" xfId="0" applyNumberFormat="1" applyFont="1" applyFill="1" applyBorder="1" applyAlignment="1">
      <x:alignment vertical="center" wrapText="1"/>
    </x:xf>
    <x:xf numFmtId="0" fontId="8" fillId="42" borderId="13" xfId="0" applyNumberFormat="1" applyFont="1" applyFill="1" applyBorder="1" applyAlignment="1">
      <x:alignment vertical="center" wrapText="1"/>
    </x:xf>
    <x:xf numFmtId="0" fontId="8" fillId="43" borderId="13" xfId="0" applyNumberFormat="1" applyFont="1" applyFill="1" applyBorder="1" applyAlignment="1">
      <x:alignment vertical="center" wrapText="1"/>
    </x:xf>
    <x:xf numFmtId="0" fontId="9" fillId="43" borderId="13" xfId="0" applyNumberFormat="1" applyFont="1" applyFill="1" applyBorder="1" applyAlignment="1">
      <x:alignment vertical="center" wrapText="1"/>
    </x:xf>
    <x:xf numFmtId="204" fontId="8" fillId="40" borderId="13" xfId="0" applyNumberFormat="1" applyFont="1" applyFill="1" applyBorder="1" applyAlignment="1">
      <x:alignment vertical="center" wrapText="1"/>
    </x:xf>
    <x:xf numFmtId="204" fontId="8" fillId="41" borderId="13" xfId="0" applyNumberFormat="1" applyFont="1" applyFill="1" applyBorder="1" applyAlignment="1">
      <x:alignment vertical="center" wrapText="1"/>
    </x:xf>
    <x:xf numFmtId="205" fontId="8" fillId="40" borderId="13" xfId="0" applyNumberFormat="1" applyFont="1" applyFill="1" applyBorder="1" applyAlignment="1">
      <x:alignment vertical="center" wrapText="1"/>
    </x:xf>
    <x:xf numFmtId="205" fontId="8" fillId="41" borderId="13" xfId="0" applyNumberFormat="1" applyFont="1" applyFill="1" applyBorder="1" applyAlignment="1">
      <x:alignment vertical="center" wrapText="1"/>
    </x:xf>
    <x:xf numFmtId="0" fontId="10" fillId="37" borderId="0" xfId="0" applyNumberFormat="1" applyFont="1" applyFill="1" applyBorder="1"/>
    <x:xf numFmtId="0" fontId="10" fillId="37" borderId="0" xfId="0" applyNumberFormat="1" applyFont="1" applyFill="1" applyBorder="1" applyAlignment="1">
      <x:alignment vertical="center"/>
    </x:xf>
    <x:xf numFmtId="0" fontId="6" fillId="40" borderId="0" xfId="0" applyNumberFormat="1" applyFont="1" applyFill="1" applyBorder="1"/>
    <x:xf numFmtId="0" fontId="6" fillId="40" borderId="12" xfId="0" applyNumberFormat="1" applyFont="1" applyFill="1" applyBorder="1"/>
    <x:xf numFmtId="0" fontId="6" fillId="40" borderId="12" xfId="0" applyNumberFormat="1" applyFont="1" applyFill="1" applyBorder="1" applyAlignment="1">
      <x:alignment wrapText="1"/>
    </x:xf>
    <x:xf numFmtId="0" fontId="6" fillId="40" borderId="12" xfId="0" applyNumberFormat="1" applyFont="1" applyFill="1" applyBorder="1" applyAlignment="1">
      <x:alignment vertical="center" wrapText="1"/>
    </x:xf>
    <x:xf numFmtId="200" fontId="6" fillId="40" borderId="12" xfId="0" applyNumberFormat="1" applyFont="1" applyFill="1" applyBorder="1" applyAlignment="1">
      <x:alignment vertical="center" wrapText="1"/>
    </x:xf>
    <x:xf numFmtId="200" fontId="0" fillId="41" borderId="0" xfId="0" applyNumberFormat="1" applyFont="1" applyFill="1" applyBorder="1"/>
    <x:xf numFmtId="0" fontId="6" fillId="41" borderId="0" xfId="0" applyNumberFormat="1" applyFont="1" applyFill="1" applyBorder="1"/>
    <x:xf numFmtId="200" fontId="6" fillId="41" borderId="0" xfId="0" applyNumberFormat="1" applyFont="1" applyFill="1" applyBorder="1"/>
    <x:xf numFmtId="0" fontId="6" fillId="41" borderId="12" xfId="0" applyNumberFormat="1" applyFont="1" applyFill="1" applyBorder="1"/>
    <x:xf numFmtId="200" fontId="6" fillId="41" borderId="12" xfId="0" applyNumberFormat="1" applyFont="1" applyFill="1" applyBorder="1"/>
    <x:xf numFmtId="0" fontId="6" fillId="41" borderId="12" xfId="0" applyNumberFormat="1" applyFont="1" applyFill="1" applyBorder="1" applyAlignment="1">
      <x:alignment wrapText="1"/>
    </x:xf>
    <x:xf numFmtId="200" fontId="6" fillId="41" borderId="12" xfId="0" applyNumberFormat="1" applyFont="1" applyFill="1" applyBorder="1" applyAlignment="1">
      <x:alignment wrapText="1"/>
    </x:xf>
    <x:xf numFmtId="0" fontId="6" fillId="41" borderId="12" xfId="0" applyNumberFormat="1" applyFont="1" applyFill="1" applyBorder="1" applyAlignment="1">
      <x:alignment vertical="center" wrapText="1"/>
    </x:xf>
    <x:xf numFmtId="200" fontId="6" fillId="41" borderId="12" xfId="0" applyNumberFormat="1" applyFont="1" applyFill="1" applyBorder="1" applyAlignment="1">
      <x:alignment vertical="center" wrapText="1"/>
    </x:xf>
    <x:xf numFmtId="0" fontId="0" fillId="44" borderId="0" xfId="0" applyNumberFormat="1" applyFont="1" applyFill="1" applyBorder="1"/>
    <x:xf numFmtId="0" fontId="1" fillId="44" borderId="0" xfId="0" applyNumberFormat="1" applyFont="1" applyFill="1" applyBorder="1"/>
    <x:xf numFmtId="0" fontId="1" fillId="44" borderId="0" xfId="0" applyNumberFormat="1" applyFont="1" applyFill="1" applyBorder="1" applyAlignment="1">
      <x:alignment vertical="center"/>
    </x:xf>
    <x:xf numFmtId="0" fontId="0" fillId="45" borderId="0" xfId="0" applyNumberFormat="1" applyFont="1" applyFill="1" applyBorder="1"/>
    <x:xf numFmtId="0" fontId="2" fillId="45" borderId="0" xfId="0" applyNumberFormat="1" applyFont="1" applyFill="1" applyBorder="1"/>
    <x:xf numFmtId="0" fontId="2" fillId="45" borderId="0" xfId="0" applyNumberFormat="1" applyFont="1" applyFill="1" applyBorder="1" applyAlignment="1">
      <x:alignment wrapText="1"/>
    </x:xf>
    <x:xf numFmtId="0" fontId="2" fillId="45" borderId="0" xfId="0" applyNumberFormat="1" applyFont="1" applyFill="1" applyBorder="1" applyAlignment="1">
      <x:alignment vertical="center" wrapText="1"/>
    </x:xf>
    <x:xf numFmtId="0" fontId="0" fillId="46" borderId="0" xfId="0" applyNumberFormat="1" applyFont="1" applyFill="1" applyBorder="1"/>
    <x:xf numFmtId="0" fontId="7" fillId="46" borderId="0" xfId="0" applyNumberFormat="1" applyFont="1" applyFill="1" applyBorder="1"/>
    <x:xf numFmtId="0" fontId="7" fillId="46" borderId="13" xfId="0" applyNumberFormat="1" applyFont="1" applyFill="1" applyBorder="1"/>
    <x:xf numFmtId="0" fontId="7" fillId="46" borderId="13" xfId="0" applyNumberFormat="1" applyFont="1" applyFill="1" applyBorder="1" applyAlignment="1">
      <x:alignment wrapText="1"/>
    </x:xf>
    <x:xf numFmtId="0" fontId="7" fillId="46" borderId="13" xfId="0" applyNumberFormat="1" applyFont="1" applyFill="1" applyBorder="1" applyAlignment="1">
      <x:alignment horizontal="center" wrapText="1"/>
    </x:xf>
    <x:xf numFmtId="0" fontId="7" fillId="46" borderId="13" xfId="0" applyNumberFormat="1" applyFont="1" applyFill="1" applyBorder="1" applyAlignment="1">
      <x:alignment horizontal="center" vertical="center" wrapText="1"/>
    </x:xf>
    <x:xf numFmtId="0" fontId="0" fillId="47" borderId="0" xfId="0" applyNumberFormat="1" applyFont="1" applyFill="1" applyBorder="1"/>
    <x:xf numFmtId="0" fontId="8" fillId="47" borderId="0" xfId="0" applyNumberFormat="1" applyFont="1" applyFill="1" applyBorder="1"/>
    <x:xf numFmtId="0" fontId="8" fillId="47" borderId="13" xfId="0" applyNumberFormat="1" applyFont="1" applyFill="1" applyBorder="1"/>
    <x:xf numFmtId="0" fontId="8" fillId="47" borderId="13" xfId="0" applyNumberFormat="1" applyFont="1" applyFill="1" applyBorder="1" applyAlignment="1">
      <x:alignment wrapText="1"/>
    </x:xf>
    <x:xf numFmtId="0" fontId="8" fillId="47" borderId="13" xfId="0" applyNumberFormat="1" applyFont="1" applyFill="1" applyBorder="1" applyAlignment="1">
      <x:alignment vertical="center" wrapText="1"/>
    </x:xf>
    <x:xf numFmtId="0" fontId="0" fillId="48" borderId="0" xfId="0" applyNumberFormat="1" applyFont="1" applyFill="1" applyBorder="1"/>
    <x:xf numFmtId="0" fontId="8" fillId="48" borderId="0" xfId="0" applyNumberFormat="1" applyFont="1" applyFill="1" applyBorder="1"/>
    <x:xf numFmtId="0" fontId="8" fillId="48" borderId="13" xfId="0" applyNumberFormat="1" applyFont="1" applyFill="1" applyBorder="1"/>
    <x:xf numFmtId="0" fontId="8" fillId="48" borderId="13" xfId="0" applyNumberFormat="1" applyFont="1" applyFill="1" applyBorder="1" applyAlignment="1">
      <x:alignment wrapText="1"/>
    </x:xf>
    <x:xf numFmtId="0" fontId="8" fillId="48" borderId="13" xfId="0" applyNumberFormat="1" applyFont="1" applyFill="1" applyBorder="1" applyAlignment="1">
      <x:alignment vertical="center" wrapText="1"/>
    </x:xf>
    <x:xf numFmtId="0" fontId="8" fillId="49" borderId="13" xfId="0" applyNumberFormat="1" applyFont="1" applyFill="1" applyBorder="1" applyAlignment="1">
      <x:alignment vertical="center" wrapText="1"/>
    </x:xf>
    <x:xf numFmtId="0" fontId="11" fillId="49" borderId="13" xfId="0" applyNumberFormat="1" applyFont="1" applyFill="1" applyBorder="1" applyAlignment="1">
      <x:alignment vertical="center" wrapText="1"/>
    </x:xf>
    <x:xf numFmtId="204" fontId="8" fillId="47" borderId="13" xfId="0" applyNumberFormat="1" applyFont="1" applyFill="1" applyBorder="1" applyAlignment="1">
      <x:alignment vertical="center" wrapText="1"/>
    </x:xf>
    <x:xf numFmtId="204" fontId="8" fillId="48" borderId="13" xfId="0" applyNumberFormat="1" applyFont="1" applyFill="1" applyBorder="1" applyAlignment="1">
      <x:alignment vertical="center" wrapText="1"/>
    </x:xf>
    <x:xf numFmtId="205" fontId="8" fillId="47" borderId="13" xfId="0" applyNumberFormat="1" applyFont="1" applyFill="1" applyBorder="1" applyAlignment="1">
      <x:alignment vertical="center" wrapText="1"/>
    </x:xf>
    <x:xf numFmtId="205" fontId="8" fillId="48" borderId="13" xfId="0" applyNumberFormat="1" applyFont="1" applyFill="1" applyBorder="1" applyAlignment="1">
      <x:alignment vertical="center" wrapText="1"/>
    </x:xf>
    <x:xf numFmtId="0" fontId="10" fillId="44" borderId="0" xfId="0" applyNumberFormat="1" applyFont="1" applyFill="1" applyBorder="1"/>
    <x:xf numFmtId="0" fontId="10" fillId="44" borderId="0" xfId="0" applyNumberFormat="1" applyFont="1" applyFill="1" applyBorder="1" applyAlignment="1">
      <x:alignment vertical="center"/>
    </x:xf>
    <x:xf numFmtId="0" fontId="6" fillId="47" borderId="0" xfId="0" applyNumberFormat="1" applyFont="1" applyFill="1" applyBorder="1"/>
    <x:xf numFmtId="0" fontId="6" fillId="47" borderId="12" xfId="0" applyNumberFormat="1" applyFont="1" applyFill="1" applyBorder="1"/>
    <x:xf numFmtId="0" fontId="6" fillId="47" borderId="12" xfId="0" applyNumberFormat="1" applyFont="1" applyFill="1" applyBorder="1" applyAlignment="1">
      <x:alignment wrapText="1"/>
    </x:xf>
    <x:xf numFmtId="0" fontId="6" fillId="47" borderId="12" xfId="0" applyNumberFormat="1" applyFont="1" applyFill="1" applyBorder="1" applyAlignment="1">
      <x:alignment vertical="center" wrapText="1"/>
    </x:xf>
    <x:xf numFmtId="200" fontId="6" fillId="47" borderId="12" xfId="0" applyNumberFormat="1" applyFont="1" applyFill="1" applyBorder="1" applyAlignment="1">
      <x:alignment vertical="center" wrapText="1"/>
    </x:xf>
    <x:xf numFmtId="0" fontId="6" fillId="48" borderId="12" xfId="0" applyNumberFormat="1" applyFont="1" applyFill="1" applyBorder="1" applyAlignment="1">
      <x:alignment vertical="center" wrapText="1"/>
    </x:xf>
    <x:xf numFmtId="200" fontId="6" fillId="48" borderId="12" xfId="0" applyNumberFormat="1" applyFont="1" applyFill="1" applyBorder="1" applyAlignment="1">
      <x:alignment vertical="center" wrapText="1"/>
    </x:xf>
    <x:xf numFmtId="200" fontId="0" fillId="47" borderId="0" xfId="0" applyNumberFormat="1" applyFont="1" applyFill="1" applyBorder="1"/>
    <x:xf numFmtId="200" fontId="6" fillId="47" borderId="0" xfId="0" applyNumberFormat="1" applyFont="1" applyFill="1" applyBorder="1"/>
    <x:xf numFmtId="200" fontId="6" fillId="47" borderId="12" xfId="0" applyNumberFormat="1" applyFont="1" applyFill="1" applyBorder="1"/>
    <x:xf numFmtId="200" fontId="6" fillId="47" borderId="12"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vertical="center"/>
    </x:xf>
    <x:xf numFmtId="0" fontId="0" fillId="51" borderId="0" xfId="0" applyNumberFormat="1" applyFont="1" applyFill="1" applyBorder="1"/>
    <x:xf numFmtId="0" fontId="2" fillId="51" borderId="0" xfId="0" applyNumberFormat="1" applyFont="1" applyFill="1" applyBorder="1"/>
    <x:xf numFmtId="0" fontId="2" fillId="51" borderId="0" xfId="0" applyNumberFormat="1" applyFont="1" applyFill="1" applyBorder="1" applyAlignment="1">
      <x:alignment wrapText="1"/>
    </x:xf>
    <x:xf numFmtId="0" fontId="2" fillId="51" borderId="0" xfId="0" applyNumberFormat="1" applyFont="1" applyFill="1" applyBorder="1" applyAlignment="1">
      <x:alignment vertical="center" wrapText="1"/>
    </x:xf>
    <x:xf numFmtId="0" fontId="0" fillId="52" borderId="0" xfId="0" applyNumberFormat="1" applyFont="1" applyFill="1" applyBorder="1"/>
    <x:xf numFmtId="0" fontId="7" fillId="52" borderId="0" xfId="0" applyNumberFormat="1" applyFont="1" applyFill="1" applyBorder="1"/>
    <x:xf numFmtId="0" fontId="7" fillId="52" borderId="13" xfId="0" applyNumberFormat="1" applyFont="1" applyFill="1" applyBorder="1"/>
    <x:xf numFmtId="0" fontId="7" fillId="52" borderId="13" xfId="0" applyNumberFormat="1" applyFont="1" applyFill="1" applyBorder="1" applyAlignment="1">
      <x:alignment wrapText="1"/>
    </x:xf>
    <x:xf numFmtId="0" fontId="7" fillId="52" borderId="13" xfId="0" applyNumberFormat="1" applyFont="1" applyFill="1" applyBorder="1" applyAlignment="1">
      <x:alignment horizontal="center" wrapText="1"/>
    </x:xf>
    <x:xf numFmtId="0" fontId="7" fillId="52" borderId="13" xfId="0" applyNumberFormat="1" applyFont="1" applyFill="1" applyBorder="1" applyAlignment="1">
      <x:alignment horizontal="center" vertical="center" wrapText="1"/>
    </x:xf>
    <x:xf numFmtId="0" fontId="0" fillId="53" borderId="0" xfId="0" applyNumberFormat="1" applyFont="1" applyFill="1" applyBorder="1"/>
    <x:xf numFmtId="0" fontId="8" fillId="53" borderId="0" xfId="0" applyNumberFormat="1" applyFont="1" applyFill="1" applyBorder="1"/>
    <x:xf numFmtId="0" fontId="8" fillId="53" borderId="13" xfId="0" applyNumberFormat="1" applyFont="1" applyFill="1" applyBorder="1"/>
    <x:xf numFmtId="0" fontId="8" fillId="53" borderId="13" xfId="0" applyNumberFormat="1" applyFont="1" applyFill="1" applyBorder="1" applyAlignment="1">
      <x:alignment wrapText="1"/>
    </x:xf>
    <x:xf numFmtId="0" fontId="8" fillId="53" borderId="13" xfId="0" applyNumberFormat="1" applyFont="1" applyFill="1" applyBorder="1" applyAlignment="1">
      <x:alignment vertical="center" wrapText="1"/>
    </x:xf>
    <x:xf numFmtId="0" fontId="0" fillId="54" borderId="0" xfId="0" applyNumberFormat="1" applyFont="1" applyFill="1" applyBorder="1"/>
    <x:xf numFmtId="0" fontId="8" fillId="54" borderId="0" xfId="0" applyNumberFormat="1" applyFont="1" applyFill="1" applyBorder="1"/>
    <x:xf numFmtId="0" fontId="8" fillId="54" borderId="13" xfId="0" applyNumberFormat="1" applyFont="1" applyFill="1" applyBorder="1"/>
    <x:xf numFmtId="0" fontId="8" fillId="54" borderId="13" xfId="0" applyNumberFormat="1" applyFont="1" applyFill="1" applyBorder="1" applyAlignment="1">
      <x:alignment wrapText="1"/>
    </x:xf>
    <x:xf numFmtId="0" fontId="8" fillId="54" borderId="13" xfId="0" applyNumberFormat="1" applyFont="1" applyFill="1" applyBorder="1" applyAlignment="1">
      <x:alignment vertical="center" wrapText="1"/>
    </x:xf>
    <x:xf numFmtId="203" fontId="8" fillId="53" borderId="13" xfId="0" applyNumberFormat="1" applyFont="1" applyFill="1" applyBorder="1" applyAlignment="1">
      <x:alignment vertical="center" wrapText="1"/>
    </x:xf>
    <x:xf numFmtId="203" fontId="8" fillId="54" borderId="13" xfId="0" applyNumberFormat="1" applyFont="1" applyFill="1" applyBorder="1" applyAlignment="1">
      <x:alignment vertical="center" wrapText="1"/>
    </x:xf>
    <x:xf numFmtId="0" fontId="8" fillId="55" borderId="13" xfId="0" applyNumberFormat="1" applyFont="1" applyFill="1" applyBorder="1" applyAlignment="1">
      <x:alignment vertical="center" wrapText="1"/>
    </x:xf>
    <x:xf numFmtId="0" fontId="12" fillId="55" borderId="13" xfId="0" applyNumberFormat="1" applyFont="1" applyFill="1" applyBorder="1" applyAlignment="1">
      <x:alignment vertical="center" wrapText="1"/>
    </x:xf>
    <x:xf numFmtId="0" fontId="0" fillId="53" borderId="2" xfId="0" applyNumberFormat="1" applyFont="1" applyFill="1" applyBorder="1" applyAlignment="1">
      <x:alignment wrapText="1"/>
    </x:xf>
    <x:xf numFmtId="0" fontId="8" fillId="53" borderId="2" xfId="0" applyNumberFormat="1" applyFont="1" applyFill="1" applyBorder="1" applyAlignment="1">
      <x:alignment wrapText="1"/>
    </x:xf>
    <x:xf numFmtId="200" fontId="0" fillId="54" borderId="0" xfId="0" applyNumberFormat="1" applyFont="1" applyFill="1" applyBorder="1"/>
    <x:xf numFmtId="0" fontId="6" fillId="54" borderId="0" xfId="0" applyNumberFormat="1" applyFont="1" applyFill="1" applyBorder="1"/>
    <x:xf numFmtId="200" fontId="6" fillId="54" borderId="0" xfId="0" applyNumberFormat="1" applyFont="1" applyFill="1" applyBorder="1"/>
    <x:xf numFmtId="0" fontId="6" fillId="54" borderId="12" xfId="0" applyNumberFormat="1" applyFont="1" applyFill="1" applyBorder="1"/>
    <x:xf numFmtId="200" fontId="6" fillId="54" borderId="12" xfId="0" applyNumberFormat="1" applyFont="1" applyFill="1" applyBorder="1"/>
    <x:xf numFmtId="0" fontId="6" fillId="54" borderId="12" xfId="0" applyNumberFormat="1" applyFont="1" applyFill="1" applyBorder="1" applyAlignment="1">
      <x:alignment wrapText="1"/>
    </x:xf>
    <x:xf numFmtId="200" fontId="6" fillId="54" borderId="12" xfId="0" applyNumberFormat="1" applyFont="1" applyFill="1" applyBorder="1" applyAlignment="1">
      <x:alignment wrapText="1"/>
    </x:xf>
    <x:xf numFmtId="0" fontId="6" fillId="54" borderId="12" xfId="0" applyNumberFormat="1" applyFont="1" applyFill="1" applyBorder="1" applyAlignment="1">
      <x:alignment vertical="center" wrapText="1"/>
    </x:xf>
    <x:xf numFmtId="200" fontId="6" fillId="54" borderId="12" xfId="0" applyNumberFormat="1" applyFont="1" applyFill="1" applyBorder="1" applyAlignment="1">
      <x:alignment vertical="center"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vertical="center"/>
    </x:xf>
    <x:xf numFmtId="0" fontId="0" fillId="57" borderId="0" xfId="0" applyNumberFormat="1" applyFont="1" applyFill="1" applyBorder="1"/>
    <x:xf numFmtId="0" fontId="2" fillId="57" borderId="0" xfId="0" applyNumberFormat="1" applyFont="1" applyFill="1" applyBorder="1"/>
    <x:xf numFmtId="0" fontId="2" fillId="57" borderId="0" xfId="0" applyNumberFormat="1" applyFont="1" applyFill="1" applyBorder="1" applyAlignment="1">
      <x:alignment wrapText="1"/>
    </x:xf>
    <x:xf numFmtId="0" fontId="2" fillId="57" borderId="0" xfId="0" applyNumberFormat="1" applyFont="1" applyFill="1" applyBorder="1" applyAlignment="1">
      <x:alignment vertical="center" wrapText="1"/>
    </x:xf>
    <x:xf numFmtId="0" fontId="0" fillId="58" borderId="0" xfId="0" applyNumberFormat="1" applyFont="1" applyFill="1" applyBorder="1"/>
    <x:xf numFmtId="0" fontId="7" fillId="58" borderId="0" xfId="0" applyNumberFormat="1" applyFont="1" applyFill="1" applyBorder="1"/>
    <x:xf numFmtId="0" fontId="7" fillId="58" borderId="13" xfId="0" applyNumberFormat="1" applyFont="1" applyFill="1" applyBorder="1"/>
    <x:xf numFmtId="0" fontId="7" fillId="58" borderId="13" xfId="0" applyNumberFormat="1" applyFont="1" applyFill="1" applyBorder="1" applyAlignment="1">
      <x:alignment wrapText="1"/>
    </x:xf>
    <x:xf numFmtId="0" fontId="7" fillId="58" borderId="13" xfId="0" applyNumberFormat="1" applyFont="1" applyFill="1" applyBorder="1" applyAlignment="1">
      <x:alignment horizontal="center" wrapText="1"/>
    </x:xf>
    <x:xf numFmtId="0" fontId="7" fillId="58" borderId="13" xfId="0" applyNumberFormat="1" applyFont="1" applyFill="1" applyBorder="1" applyAlignment="1">
      <x:alignment horizontal="center" vertical="center" wrapText="1"/>
    </x:xf>
    <x:xf numFmtId="0" fontId="0" fillId="59" borderId="0" xfId="0" applyNumberFormat="1" applyFont="1" applyFill="1" applyBorder="1"/>
    <x:xf numFmtId="0" fontId="8" fillId="59" borderId="0" xfId="0" applyNumberFormat="1" applyFont="1" applyFill="1" applyBorder="1"/>
    <x:xf numFmtId="0" fontId="8" fillId="59" borderId="13" xfId="0" applyNumberFormat="1" applyFont="1" applyFill="1" applyBorder="1"/>
    <x:xf numFmtId="0" fontId="8" fillId="59" borderId="13" xfId="0" applyNumberFormat="1" applyFont="1" applyFill="1" applyBorder="1" applyAlignment="1">
      <x:alignment wrapText="1"/>
    </x:xf>
    <x:xf numFmtId="0" fontId="8" fillId="59" borderId="13" xfId="0" applyNumberFormat="1" applyFont="1" applyFill="1" applyBorder="1" applyAlignment="1">
      <x:alignment vertical="center" wrapText="1"/>
    </x:xf>
    <x:xf numFmtId="0" fontId="0" fillId="60" borderId="0" xfId="0" applyNumberFormat="1" applyFont="1" applyFill="1" applyBorder="1"/>
    <x:xf numFmtId="0" fontId="8" fillId="60" borderId="0" xfId="0" applyNumberFormat="1" applyFont="1" applyFill="1" applyBorder="1"/>
    <x:xf numFmtId="0" fontId="8" fillId="60" borderId="13" xfId="0" applyNumberFormat="1" applyFont="1" applyFill="1" applyBorder="1"/>
    <x:xf numFmtId="0" fontId="8" fillId="60" borderId="13" xfId="0" applyNumberFormat="1" applyFont="1" applyFill="1" applyBorder="1" applyAlignment="1">
      <x:alignment wrapText="1"/>
    </x:xf>
    <x:xf numFmtId="0" fontId="8" fillId="60" borderId="13" xfId="0" applyNumberFormat="1" applyFont="1" applyFill="1" applyBorder="1" applyAlignment="1">
      <x:alignment vertical="center" wrapText="1"/>
    </x:xf>
    <x:xf numFmtId="203" fontId="8" fillId="59" borderId="13" xfId="0" applyNumberFormat="1" applyFont="1" applyFill="1" applyBorder="1" applyAlignment="1">
      <x:alignment vertical="center" wrapText="1"/>
    </x:xf>
    <x:xf numFmtId="203" fontId="8" fillId="60" borderId="13" xfId="0" applyNumberFormat="1" applyFont="1" applyFill="1" applyBorder="1" applyAlignment="1">
      <x:alignment vertical="center" wrapText="1"/>
    </x:xf>
    <x:xf numFmtId="0" fontId="8" fillId="61" borderId="13" xfId="0" applyNumberFormat="1" applyFont="1" applyFill="1" applyBorder="1" applyAlignment="1">
      <x:alignment vertical="center" wrapText="1"/>
    </x:xf>
    <x:xf numFmtId="0" fontId="12" fillId="61" borderId="13" xfId="0" applyNumberFormat="1" applyFont="1" applyFill="1" applyBorder="1" applyAlignment="1">
      <x:alignment vertical="center" wrapText="1"/>
    </x:xf>
    <x:xf numFmtId="0" fontId="6" fillId="60" borderId="12" xfId="0" applyNumberFormat="1" applyFont="1" applyFill="1" applyBorder="1" applyAlignment="1">
      <x:alignment vertical="center" wrapText="1"/>
    </x:xf>
    <x:xf numFmtId="200" fontId="6" fillId="60" borderId="12" xfId="0" applyNumberFormat="1" applyFont="1" applyFill="1" applyBorder="1" applyAlignment="1">
      <x:alignment vertical="center" wrapText="1"/>
    </x:xf>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3" fillId="63" borderId="0" xfId="0" applyNumberFormat="1" applyFont="1" applyFill="1" applyBorder="1"/>
    <x:xf numFmtId="0" fontId="13" fillId="63" borderId="0" xfId="0" applyNumberFormat="1" applyFont="1" applyFill="1" applyBorder="1" applyAlignment="1">
      <x:alignment wrapText="1"/>
    </x:xf>
    <x:xf numFmtId="0" fontId="0" fillId="64" borderId="0" xfId="0" applyNumberFormat="1" applyFont="1" applyFill="1" applyBorder="1"/>
    <x:xf numFmtId="0" fontId="3" fillId="64" borderId="0" xfId="0" applyNumberFormat="1" applyFont="1" applyFill="1" applyBorder="1"/>
    <x:xf numFmtId="0" fontId="3" fillId="64" borderId="0" xfId="0" applyNumberFormat="1" applyFont="1" applyFill="1" applyBorder="1" applyAlignment="1">
      <x:alignment wrapText="1"/>
    </x:xf>
    <x:xf numFmtId="0" fontId="3" fillId="64"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0" fillId="63" borderId="0" xfId="0" applyNumberFormat="1" applyFont="1" applyFill="1" applyBorder="1" applyAlignment="1">
      <x:alignment vertical="top" wrapText="1"/>
    </x:xf>
    <x:xf numFmtId="0" fontId="14" fillId="63" borderId="0" xfId="0" applyNumberFormat="1" applyFont="1" applyFill="1" applyBorder="1" applyAlignment="1">
      <x:alignment vertical="top" wrapText="1"/>
    </x:xf>
    <x:xf numFmtId="0" fontId="14" fillId="63" borderId="14" xfId="0" applyNumberFormat="1" applyFont="1" applyFill="1" applyBorder="1" applyAlignment="1">
      <x:alignment vertical="top" wrapText="1"/>
    </x:xf>
    <x:xf numFmtId="0" fontId="14" fillId="63" borderId="15" xfId="0" applyNumberFormat="1" applyFont="1" applyFill="1" applyBorder="1" applyAlignment="1">
      <x:alignment vertical="top" wrapText="1"/>
    </x:xf>
    <x:xf numFmtId="0" fontId="14" fillId="63" borderId="16" xfId="0" applyNumberFormat="1" applyFont="1" applyFill="1" applyBorder="1" applyAlignment="1">
      <x:alignment vertical="top" wrapText="1"/>
    </x:xf>
    <x:xf numFmtId="0" fontId="14" fillId="63" borderId="17" xfId="0" applyNumberFormat="1" applyFont="1" applyFill="1" applyBorder="1" applyAlignment="1">
      <x:alignment vertical="top" wrapText="1"/>
    </x:xf>
    <x:xf numFmtId="0" fontId="14" fillId="63" borderId="18" xfId="0" applyNumberFormat="1" applyFont="1" applyFill="1" applyBorder="1" applyAlignment="1">
      <x:alignment vertical="top" wrapText="1"/>
    </x:xf>
    <x:xf numFmtId="0" fontId="14" fillId="63" borderId="19" xfId="0" applyNumberFormat="1" applyFont="1" applyFill="1" applyBorder="1" applyAlignment="1">
      <x:alignment vertical="top" wrapText="1"/>
    </x:xf>
    <x:xf numFmtId="200" fontId="0" fillId="0" borderId="0" xfId="0" applyNumberFormat="1" applyFont="1" applyFill="1" applyBorder="1" applyAlignment="1">
      <x:alignment vertical="center" wrapText="1"/>
    </x:xf>
    <x:xf numFmtId="202" fontId="0" fillId="0" borderId="0" xfId="0" applyNumberFormat="1" applyFont="1" applyFill="1" applyBorder="1"/>
    <x:xf numFmtId="0" fontId="0" fillId="65" borderId="0" xfId="0" applyNumberFormat="1" applyFont="1" applyFill="1" applyBorder="1"/>
    <x:xf numFmtId="0" fontId="1" fillId="65" borderId="0" xfId="0" applyNumberFormat="1" applyFont="1" applyFill="1" applyBorder="1"/>
    <x:xf numFmtId="0" fontId="0" fillId="66" borderId="0" xfId="0" applyNumberFormat="1" applyFont="1" applyFill="1" applyBorder="1"/>
    <x:xf numFmtId="0" fontId="2" fillId="66" borderId="0" xfId="0" applyNumberFormat="1" applyFont="1" applyFill="1" applyBorder="1"/>
    <x:xf numFmtId="0" fontId="2" fillId="66" borderId="0" xfId="0" applyNumberFormat="1" applyFont="1" applyFill="1" applyBorder="1" applyAlignment="1">
      <x:alignment wrapText="1"/>
    </x:xf>
    <x:xf numFmtId="0" fontId="1" fillId="65" borderId="0" xfId="0" applyNumberFormat="1" applyFont="1" applyFill="1" applyBorder="1" applyAlignment="1">
      <x:alignment wrapText="1"/>
    </x:xf>
    <x:xf numFmtId="203"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65" borderId="0" xfId="0" applyNumberFormat="1" applyFont="1" applyFill="1" applyBorder="1" applyAlignment="1">
      <x:alignment wrapText="1"/>
    </x:xf>
    <x:xf numFmtId="0" fontId="0" fillId="66"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cellXfs>
  <x:cellStyles count="1">
    <x:cellStyle name="Normal" xfId="0"/>
  </x:cellStyles>
  <x:dxfs count="43">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ill>
        <x:patternFill>
          <x:bgColor rgb="FFFFF2CC"/>
        </x:patternFill>
      </x:fill>
    </x:dxf>
    <x:dxf>
      <x:fill>
        <x:patternFill>
          <x:bgColor rgb="FFFFF2CC"/>
        </x:patternFill>
      </x:fill>
    </x:dxf>
    <x:dxf>
      <x:fill>
        <x:patternFill>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38bbd15337b4b2b" /><Relationship Type="http://schemas.openxmlformats.org/officeDocument/2006/relationships/theme" Target="/xl/theme/theme1.xml" Id="Rb34ea59d21f54788" /><Relationship Type="http://schemas.openxmlformats.org/officeDocument/2006/relationships/sharedStrings" Target="/xl/sharedStrings.xml" Id="R97716ffcb29c4a0b" /><Relationship Type="http://schemas.openxmlformats.org/officeDocument/2006/relationships/worksheet" Target="/xl/worksheets/sheet1.xml" Id="R75e881928ec84dfe" /><Relationship Type="http://schemas.openxmlformats.org/officeDocument/2006/relationships/worksheet" Target="/xl/worksheets/sheet2.xml" Id="Rbfac48e8bfa94197" /><Relationship Type="http://schemas.openxmlformats.org/officeDocument/2006/relationships/worksheet" Target="/xl/worksheets/sheet3.xml" Id="Rd758d38b083e4aaa" /><Relationship Type="http://schemas.openxmlformats.org/officeDocument/2006/relationships/worksheet" Target="/xl/worksheets/sheet4.xml" Id="R76b8735006cc431b" /><Relationship Type="http://schemas.openxmlformats.org/officeDocument/2006/relationships/worksheet" Target="/xl/worksheets/sheet5.xml" Id="R0ac031ff3b6d4ab5" /><Relationship Type="http://schemas.openxmlformats.org/officeDocument/2006/relationships/worksheet" Target="/xl/worksheets/sheet6.xml" Id="R21c831c03b7d4e8b" /><Relationship Type="http://schemas.openxmlformats.org/officeDocument/2006/relationships/worksheet" Target="/xl/worksheets/sheet7.xml" Id="R07580a305763407b" /><Relationship Type="http://schemas.openxmlformats.org/officeDocument/2006/relationships/worksheet" Target="/xl/worksheets/sheet8.xml" Id="R76d9959a14884b61" /><Relationship Type="http://schemas.openxmlformats.org/officeDocument/2006/relationships/worksheet" Target="/xl/worksheets/sheet9.xml" Id="R7fb5597163494b9e" /><Relationship Type="http://schemas.openxmlformats.org/officeDocument/2006/relationships/worksheet" Target="/xl/worksheets/sheet10.xml" Id="R1e64fd0f468847bd" /><Relationship Type="http://schemas.openxmlformats.org/officeDocument/2006/relationships/worksheet" Target="/xl/worksheets/sheet11.xml" Id="R7a59341cbb2e4d26" /><Relationship Type="http://schemas.openxmlformats.org/officeDocument/2006/relationships/worksheet" Target="/xl/worksheets/sheet12.xml" Id="Rcf83d3efaf004fe9" /><Relationship Type="http://schemas.openxmlformats.org/officeDocument/2006/relationships/worksheet" Target="/xl/worksheets/sheet13.xml" Id="Rcf4ba17f578147fd" /><Relationship Type="http://schemas.openxmlformats.org/officeDocument/2006/relationships/worksheet" Target="/xl/worksheets/sheet14.xml" Id="Rb238f5349b8248c4" /><Relationship Type="http://schemas.openxmlformats.org/officeDocument/2006/relationships/worksheet" Target="/xl/worksheets/sheet15.xml" Id="R41d55b7da2904bf3" /><Relationship Type="http://schemas.openxmlformats.org/officeDocument/2006/relationships/worksheet" Target="/xl/worksheets/sheet16.xml" Id="Rc498f550a20340c4" /><Relationship Type="http://schemas.openxmlformats.org/officeDocument/2006/relationships/worksheet" Target="/xl/worksheets/sheet17.xml" Id="Ra0a77d0f1dfb42ff" /><Relationship Type="http://schemas.microsoft.com/office/2017/10/relationships/person" Target="/xl/persons/person.xml" Id="R4256ec8a69004ac5" /></Relationships>
</file>

<file path=xl/drawings/_rels/drawing1.xml.rels>&#65279;<?xml version="1.0" encoding="utf-8"?><Relationships xmlns="http://schemas.openxmlformats.org/package/2006/relationships"><Relationship Type="http://schemas.openxmlformats.org/officeDocument/2006/relationships/image" Target="/xl/media/image.jpg" Id="R0b371affc69646c8" /><Relationship Type="http://schemas.openxmlformats.org/officeDocument/2006/relationships/image" Target="/xl/media/image2.jpg" Id="R3fb1222b67b54a96" /><Relationship Type="http://schemas.openxmlformats.org/officeDocument/2006/relationships/image" Target="/xl/media/image3.jpg" Id="R14902af3eece47be" /><Relationship Type="http://schemas.openxmlformats.org/officeDocument/2006/relationships/image" Target="/xl/media/image4.jpg" Id="R3daaee604fc54e37" /><Relationship Type="http://schemas.openxmlformats.org/officeDocument/2006/relationships/image" Target="/xl/media/image5.jpg" Id="Rb02a486468884ed4" /><Relationship Type="http://schemas.openxmlformats.org/officeDocument/2006/relationships/image" Target="/xl/media/image6.jpg" Id="Re6dd0dbe05204f36" /><Relationship Type="http://schemas.openxmlformats.org/officeDocument/2006/relationships/image" Target="/xl/media/image7.jpg" Id="Ra48c630787e44d3a" /><Relationship Type="http://schemas.openxmlformats.org/officeDocument/2006/relationships/image" Target="/xl/media/image8.jpg" Id="R5b538cd22c1d4f6c" /><Relationship Type="http://schemas.openxmlformats.org/officeDocument/2006/relationships/image" Target="/xl/media/image9.jpg" Id="R91e26510b29a423f" /><Relationship Type="http://schemas.openxmlformats.org/officeDocument/2006/relationships/image" Target="/xl/media/image10.jpg" Id="R016bea7c91434f8c" /><Relationship Type="http://schemas.openxmlformats.org/officeDocument/2006/relationships/image" Target="/xl/media/image11.jpg" Id="R886fd46ddffe4b9e" /><Relationship Type="http://schemas.openxmlformats.org/officeDocument/2006/relationships/image" Target="/xl/media/image12.jpg" Id="Ra1a56de105634252" /><Relationship Type="http://schemas.openxmlformats.org/officeDocument/2006/relationships/image" Target="/xl/media/image13.jpg" Id="R63ce91b599994df7" /><Relationship Type="http://schemas.openxmlformats.org/officeDocument/2006/relationships/image" Target="/xl/media/image14.jpg" Id="Rd88b16928f85428f" /><Relationship Type="http://schemas.openxmlformats.org/officeDocument/2006/relationships/image" Target="/xl/media/image15.jpg" Id="Ra8cc045f7b1e474a" /><Relationship Type="http://schemas.openxmlformats.org/officeDocument/2006/relationships/image" Target="/xl/media/image16.jpg" Id="R9f66c942ad2945f3" /><Relationship Type="http://schemas.openxmlformats.org/officeDocument/2006/relationships/image" Target="/xl/media/image17.jpg" Id="R7fd183fdbe704cb7" /></Relationships>
</file>

<file path=xl/drawings/drawing1.xml><?xml version="1.0" encoding="utf-8"?>
<xdr:wsDr xmlns:xdr="http://schemas.openxmlformats.org/drawingml/2006/spreadsheetDrawing">
  <xdr:oneCellAnchor>
    <xdr:from>
      <xdr:col>24</xdr:col>
      <xdr:colOff>0</xdr:colOff>
      <xdr:row>26</xdr:row>
      <xdr:rowOff>0</xdr:rowOff>
    </xdr:from>
    <xdr:ext cx="1714500" cy="112395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0b371affc69646c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714500" cy="1123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3fb1222b67b54a9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28</xdr:row>
      <xdr:rowOff>0</xdr:rowOff>
    </xdr:from>
    <xdr:ext cx="1714500" cy="1123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14902af3eece47b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29</xdr:row>
      <xdr:rowOff>0</xdr:rowOff>
    </xdr:from>
    <xdr:ext cx="1714500" cy="1123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3daaee604fc54e3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30</xdr:row>
      <xdr:rowOff>0</xdr:rowOff>
    </xdr:from>
    <xdr:ext cx="1714500" cy="1123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b02a486468884ed4"/>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31</xdr:row>
      <xdr:rowOff>0</xdr:rowOff>
    </xdr:from>
    <xdr:ext cx="1714500" cy="1123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e6dd0dbe05204f3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32</xdr:row>
      <xdr:rowOff>0</xdr:rowOff>
    </xdr:from>
    <xdr:ext cx="1714500" cy="1123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a48c630787e44d3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11</xdr:row>
      <xdr:rowOff>0</xdr:rowOff>
    </xdr:from>
    <xdr:ext cx="1066800" cy="742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5b538cd22c1d4f6c"/>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12</xdr:row>
      <xdr:rowOff>0</xdr:rowOff>
    </xdr:from>
    <xdr:ext cx="1066800" cy="742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91e26510b29a423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13</xdr:row>
      <xdr:rowOff>0</xdr:rowOff>
    </xdr:from>
    <xdr:ext cx="1066800" cy="742950"/>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016bea7c91434f8c"/>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19</xdr:row>
      <xdr:rowOff>0</xdr:rowOff>
    </xdr:from>
    <xdr:ext cx="1066800" cy="742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886fd46ddffe4b9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20</xdr:row>
      <xdr:rowOff>0</xdr:rowOff>
    </xdr:from>
    <xdr:ext cx="1066800" cy="742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a1a56de10563425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34</xdr:row>
      <xdr:rowOff>0</xdr:rowOff>
    </xdr:from>
    <xdr:ext cx="1066800" cy="742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63ce91b599994df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35</xdr:row>
      <xdr:rowOff>0</xdr:rowOff>
    </xdr:from>
    <xdr:ext cx="1066800" cy="742950"/>
    <xdr:pic>
      <xdr:nvPicPr>
        <xdr:cNvPr id="14" name="/xl/media/image14.jpg"/>
        <xdr:cNvPicPr>
          <a:picLocks xmlns:a="http://schemas.openxmlformats.org/drawingml/2006/main" noChangeAspect="1"/>
        </xdr:cNvPicPr>
      </xdr:nvPicPr>
      <xdr:blipFill>
        <a:blip xmlns:r="http://schemas.openxmlformats.org/officeDocument/2006/relationships" xmlns:a="http://schemas.openxmlformats.org/drawingml/2006/main" r:embed="Rd88b16928f85428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36</xdr:row>
      <xdr:rowOff>0</xdr:rowOff>
    </xdr:from>
    <xdr:ext cx="1066800" cy="742950"/>
    <xdr:pic>
      <xdr:nvPicPr>
        <xdr:cNvPr id="15" name="/xl/media/image15.jpg"/>
        <xdr:cNvPicPr>
          <a:picLocks xmlns:a="http://schemas.openxmlformats.org/drawingml/2006/main" noChangeAspect="1"/>
        </xdr:cNvPicPr>
      </xdr:nvPicPr>
      <xdr:blipFill>
        <a:blip xmlns:r="http://schemas.openxmlformats.org/officeDocument/2006/relationships" xmlns:a="http://schemas.openxmlformats.org/drawingml/2006/main" r:embed="Ra8cc045f7b1e474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37</xdr:row>
      <xdr:rowOff>0</xdr:rowOff>
    </xdr:from>
    <xdr:ext cx="1066800" cy="742950"/>
    <xdr:pic>
      <xdr:nvPicPr>
        <xdr:cNvPr id="16" name="/xl/media/image16.jpg"/>
        <xdr:cNvPicPr>
          <a:picLocks xmlns:a="http://schemas.openxmlformats.org/drawingml/2006/main" noChangeAspect="1"/>
        </xdr:cNvPicPr>
      </xdr:nvPicPr>
      <xdr:blipFill>
        <a:blip xmlns:r="http://schemas.openxmlformats.org/officeDocument/2006/relationships" xmlns:a="http://schemas.openxmlformats.org/drawingml/2006/main" r:embed="R9f66c942ad2945f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38</xdr:row>
      <xdr:rowOff>0</xdr:rowOff>
    </xdr:from>
    <xdr:ext cx="1066800" cy="742950"/>
    <xdr:pic>
      <xdr:nvPicPr>
        <xdr:cNvPr id="17" name="/xl/media/image17.jpg"/>
        <xdr:cNvPicPr>
          <a:picLocks xmlns:a="http://schemas.openxmlformats.org/drawingml/2006/main" noChangeAspect="1"/>
        </xdr:cNvPicPr>
      </xdr:nvPicPr>
      <xdr:blipFill>
        <a:blip xmlns:r="http://schemas.openxmlformats.org/officeDocument/2006/relationships" xmlns:a="http://schemas.openxmlformats.org/drawingml/2006/main" r:embed="R7fd183fdbe704cb7"/>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Dylan" id="{067AC15E-67E7-47BB-9275-CBED9FAD6DB7}"/>
  <xltc:person displayName="Dylan / Codex" id="{295EB597-3E5F-4458-80DE-1761F59539D7}"/>
  <xltc:person displayName="Dylan / Codex" id="{EF0C0E8D-9D1A-4B54-8BAC-C78E8E63D8D7}"/>
  <xltc:person displayName="Dylan" id="{1343E44D-3911-466C-A002-D6C4464B8592}"/>
  <xltc:person displayName="Dylan / Codex" id="{36C8D1A7-4F18-46CD-B6A3-4F96CC8B6CE2}"/>
</xltc:personList>
</file>

<file path=xl/tables/table1.xml><?xml version="1.0" encoding="utf-8"?>
<x:table xmlns:x="http://schemas.openxmlformats.org/spreadsheetml/2006/main" id="21" name="DataClassificationTable" displayName="DataClassificationTable" ref="A5:F16" headerRowCount="1" totalsRowCount="0" totalsRowShown="0">
  <x:tableColumns count="6">
    <x:tableColumn id="1" name="Code"/>
    <x:tableColumn id="2" name="Register"/>
    <x:tableColumn id="3" name="Hier hoort in"/>
    <x:tableColumn id="4" name="Voorbeelden"/>
    <x:tableColumn id="5" name="Hier hoort niet in"/>
    <x:tableColumn id="6" name="Ontwerpreden"/>
  </x:tableColumns>
  <x:tableStyleInfo name="TableStyleMedium2" showFirstColumn="0" showLastColumn="0" showRowStripes="1" showColumnStripes="0"/>
</x:table>
</file>

<file path=xl/tables/table2.xml><?xml version="1.0" encoding="utf-8"?>
<x:table xmlns:x="http://schemas.openxmlformats.org/spreadsheetml/2006/main" id="2" name="ProductCategoriesTable" displayName="ProductCategoriesTable" ref="A5:I9" headerRowCount="1" totalsRowCount="0" totalsRowShown="0">
  <x:autoFilter ref="A5:I9"/>
  <x:tableColumns count="9">
    <x:tableColumn id="1" name="Categorie-ID"/>
    <x:tableColumn id="2" name="Naam"/>
    <x:tableColumn id="3" name="Bovenliggende categorie"/>
    <x:tableColumn id="4" name="Definitie"/>
    <x:tableColumn id="5" name="Standaard verbindingsrecept"/>
    <x:tableColumn id="6" name="Beperkingen"/>
    <x:tableColumn id="7" name="Status"/>
    <x:tableColumn id="8" name="Versie"/>
    <x:tableColumn id="9" name="Geldig vanaf"/>
  </x:tableColumns>
  <x:tableStyleInfo name="TableStyleMedium2" showFirstColumn="0" showLastColumn="0" showRowStripes="1" showColumnStripes="0"/>
</x:table>
</file>

<file path=xl/tables/table3.xml><?xml version="1.0" encoding="utf-8"?>
<x:table xmlns:x="http://schemas.openxmlformats.org/spreadsheetml/2006/main" id="3" name="ProductsTable" displayName="ProductsTable" ref="A5:R14" headerRowCount="1" totalsRowCount="0" totalsRowShown="0">
  <x:autoFilter ref="A5:R14"/>
  <x:tableColumns count="18">
    <x:tableColumn id="1" name="Product-ID"/>
    <x:tableColumn id="2" name="Naam"/>
    <x:tableColumn id="3" name="Categorie-ID"/>
    <x:tableColumn id="4" name="Basisproduct-ID"/>
    <x:tableColumn id="5" name="Breedte default mm"/>
    <x:tableColumn id="6" name="Diepte default mm"/>
    <x:tableColumn id="7" name="Hoogte default mm"/>
    <x:tableColumn id="8" name="Units"/>
    <x:tableColumn id="9" name="Legplanken"/>
    <x:tableColumn id="10" name="Laden"/>
    <x:tableColumn id="11" name="Startmodus"/>
    <x:tableColumn id="12" name="Profielen"/>
    <x:tableColumn id="13" name="Laden ondersteund"/>
    <x:tableColumn id="14" name="Deuren"/>
    <x:tableColumn id="15" name="Achterwand"/>
    <x:tableColumn id="16" name="Status"/>
    <x:tableColumn id="17" name="Categoriecontrole"/>
    <x:tableColumn id="18" name="Overervingscontrole"/>
  </x:tableColumns>
  <x:tableStyleInfo name="TableStyleMedium2" showFirstColumn="0" showLastColumn="0" showRowStripes="1" showColumnStripes="0"/>
</x:table>
</file>

<file path=xl/tables/table4.xml><?xml version="1.0" encoding="utf-8"?>
<x:table xmlns:x="http://schemas.openxmlformats.org/spreadsheetml/2006/main" id="4" name="MaterialsTable" displayName="MaterialsTable" ref="A5:N20" headerRowCount="1" totalsRowCount="0" totalsRowShown="0">
  <x:autoFilter ref="A5:N20"/>
  <x:tableColumns count="14">
    <x:tableColumn id="1" name="Materiaal-ID"/>
    <x:tableColumn id="2" name="Familie"/>
    <x:tableColumn id="3" name="Vorm"/>
    <x:tableColumn id="4" name="Kwaliteit/type"/>
    <x:tableColumn id="5" name="Dikte mm"/>
    <x:tableColumn id="6" name="Breedte mm"/>
    <x:tableColumn id="7" name="Hoogte mm"/>
    <x:tableColumn id="8" name="Handelslengte mm"/>
    <x:tableColumn id="9" name="Handelsbreedte mm"/>
    <x:tableColumn id="10" name="Materiaalgroep"/>
    <x:tableColumn id="11" name="Toegestane processen"/>
    <x:tableColumn id="12" name="Algemene aandachtspunten"/>
    <x:tableColumn id="13" name="Status"/>
    <x:tableColumn id="14" name="Bron"/>
  </x:tableColumns>
  <x:tableStyleInfo name="TableStyleMedium2" showFirstColumn="0" showLastColumn="0" showRowStripes="1" showColumnStripes="0"/>
</x:table>
</file>

<file path=xl/tables/table5.xml><?xml version="1.0" encoding="utf-8"?>
<x:table xmlns:x="http://schemas.openxmlformats.org/spreadsheetml/2006/main" id="5" name="ComponentsTable" displayName="ComponentsTable" ref="A5:K27" headerRowCount="1" totalsRowCount="0" totalsRowShown="0">
  <x:autoFilter ref="A5:K27"/>
  <x:tableColumns count="11">
    <x:tableColumn id="1" name="Component-ID"/>
    <x:tableColumn id="2" name="Type"/>
    <x:tableColumn id="3" name="Naam"/>
    <x:tableColumn id="4" name="Norm/artikel"/>
    <x:tableColumn id="5" name="Nominale maat"/>
    <x:tableColumn id="6" name="Lengten/maten"/>
    <x:tableColumn id="7" name="Geometrie/patroon"/>
    <x:tableColumn id="8" name="Toepassingsgebied"/>
    <x:tableColumn id="9" name="Verificatie-opmerking"/>
    <x:tableColumn id="10" name="Status"/>
    <x:tableColumn id="11" name="Bron"/>
  </x:tableColumns>
  <x:tableStyleInfo name="TableStyleMedium2" showFirstColumn="0" showLastColumn="0" showRowStripes="1" showColumnStripes="0"/>
</x:table>
</file>

<file path=xl/tables/table6.xml><?xml version="1.0" encoding="utf-8"?>
<x:table xmlns:x="http://schemas.openxmlformats.org/spreadsheetml/2006/main" id="6" name="ConnectionRecipesTable" displayName="ConnectionRecipesTable" ref="A5:J15" headerRowCount="1" totalsRowCount="0" totalsRowShown="0">
  <x:autoFilter ref="A5:J15"/>
  <x:tableColumns count="10">
    <x:tableColumn id="1" name="Recept-ID"/>
    <x:tableColumn id="2" name="Van"/>
    <x:tableColumn id="3" name="Naar"/>
    <x:tableColumn id="4" name="Verbindingstype"/>
    <x:tableColumn id="5" name="Standaard component"/>
    <x:tableColumn id="6" name="Selectie-/maatregel"/>
    <x:tableColumn id="7" name="Uitvoering/bewerkingen"/>
    <x:tableColumn id="8" name="Benodigdheden"/>
    <x:tableColumn id="9" name="Vrijgavecontrole"/>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CategoryRulesTable" displayName="CategoryRulesTable" ref="A5:K10" headerRowCount="1" totalsRowCount="0" totalsRowShown="0">
  <x:autoFilter ref="A5:K10"/>
  <x:tableColumns count="11">
    <x:tableColumn id="1" name="Regel-ID"/>
    <x:tableColumn id="2" name="Categorie-ID"/>
    <x:tableColumn id="3" name="Domein"/>
    <x:tableColumn id="4" name="Scope/toepassing"/>
    <x:tableColumn id="5" name="Actie"/>
    <x:tableColumn id="6" name="Recept-ID"/>
    <x:tableColumn id="7" name="Component-ID"/>
    <x:tableColumn id="8" name="Voorwaarde/opmerking"/>
    <x:tableColumn id="9" name="Prioriteit"/>
    <x:tableColumn id="10" name="Status"/>
    <x:tableColumn id="11" name="Bron"/>
  </x:tableColumns>
  <x:tableStyleInfo name="TableStyleMedium2" showFirstColumn="0" showLastColumn="0" showRowStripes="1" showColumnStripes="0"/>
</x:table>
</file>

<file path=xl/tables/table8.xml><?xml version="1.0" encoding="utf-8"?>
<x:table xmlns:x="http://schemas.openxmlformats.org/spreadsheetml/2006/main" id="29" name="ProductRulesTable" displayName="ProductRulesTable" ref="A5:O41" headerRowCount="1" totalsRowCount="0" totalsRowShown="0">
  <x:tableColumns count="15">
    <x:tableColumn id="1" name="Regel-ID"/>
    <x:tableColumn id="2" name="Product-ID"/>
    <x:tableColumn id="3" name="Domein"/>
    <x:tableColumn id="4" name="Scope/toepassing"/>
    <x:tableColumn id="5" name="Parametertype"/>
    <x:tableColumn id="6" name="Referentietype"/>
    <x:tableColumn id="7" name="Recept-ID"/>
    <x:tableColumn id="8" name="Referentie-ID(s)"/>
    <x:tableColumn id="9" name="Waarde"/>
    <x:tableColumn id="10" name="Eenheid"/>
    <x:tableColumn id="11" name="Voorwaarde/uitleg"/>
    <x:tableColumn id="12" name="Prioriteit"/>
    <x:tableColumn id="13" name="Status"/>
    <x:tableColumn id="14" name="Blokkeert export"/>
    <x:tableColumn id="15" name="Bron"/>
  </x:tableColumns>
  <x:tableStyleInfo name="TableStyleMedium2" showFirstColumn="0" showLastColumn="0" showRowStripes="1" showColumnStripes="0"/>
</x:table>
</file>

<file path=xl/tables/table9.xml><?xml version="1.0" encoding="utf-8"?>
<x:table xmlns:x="http://schemas.openxmlformats.org/spreadsheetml/2006/main" id="9" name="ValidationRulesTable" displayName="ValidationRulesTable" ref="A5:I17" headerRowCount="1" totalsRowCount="0" totalsRowShown="0">
  <x:autoFilter ref="A5:I17"/>
  <x:tableColumns count="9">
    <x:tableColumn id="1" name="Controle-ID"/>
    <x:tableColumn id="2" name="Scope"/>
    <x:tableColumn id="3" name="Type"/>
    <x:tableColumn id="4" name="Voorwaarde"/>
    <x:tableColumn id="5" name="Ernst"/>
    <x:tableColumn id="6" name="Blokkeert"/>
    <x:tableColumn id="7" name="Foutmelding/doel"/>
    <x:tableColumn id="8" name="Status"/>
    <x:tableColumn id="9" name="Implementatie"/>
  </x:tableColumns>
  <x:tableStyleInfo name="TableStyleMedium2" showFirstColumn="0" showLastColumn="0" showRowStripes="1" showColumnStripes="0"/>
</x:table>
</file>

<file path=xl/tables/table10.xml><?xml version="1.0" encoding="utf-8"?>
<x:table xmlns:x="http://schemas.openxmlformats.org/spreadsheetml/2006/main" id="10" name="OpenItemsTable" displayName="OpenItemsTable" ref="A5:I19" headerRowCount="1" totalsRowCount="0" totalsRowShown="0">
  <x:autoFilter ref="A5:I19"/>
  <x:tableColumns count="9">
    <x:tableColumn id="1" name="Punt-ID"/>
    <x:tableColumn id="2" name="Domein"/>
    <x:tableColumn id="3" name="Onderwerp"/>
    <x:tableColumn id="4" name="Benodigde actie"/>
    <x:tableColumn id="5" name="Prioriteit"/>
    <x:tableColumn id="6" name="Status"/>
    <x:tableColumn id="7" name="Scope"/>
    <x:tableColumn id="8" name="Mijlpaal"/>
    <x:tableColumn id="9" name="Benodigde bron/proef"/>
  </x:tableColumns>
  <x:tableStyleInfo name="TableStyleMedium2" showFirstColumn="0" showLastColumn="0" showRowStripes="1" showColumnStripes="0"/>
</x:table>
</file>

<file path=xl/tables/table11.xml><?xml version="1.0" encoding="utf-8"?>
<x:table xmlns:x="http://schemas.openxmlformats.org/spreadsheetml/2006/main" id="22" name="ChangeLogTable" displayName="ChangeLogTable" ref="A5:H25" headerRowCount="1" totalsRowCount="0" totalsRowShown="0">
  <x:tableColumns count="8">
    <x:tableColumn id="1" name="Wijziging-ID"/>
    <x:tableColumn id="2" name="Datum"/>
    <x:tableColumn id="3" name="Auteur"/>
    <x:tableColumn id="4" name="Versie"/>
    <x:tableColumn id="5" name="Onderwerp"/>
    <x:tableColumn id="6" name="Besluit/wijziging"/>
    <x:tableColumn id="7" name="Betreft ID"/>
    <x:tableColumn id="8" name="Opmerking"/>
  </x:tableColumns>
  <x:tableStyleInfo name="TableStyleMedium2" showFirstColumn="0" showLastColumn="0" showRowStripes="1" showColumnStripes="0"/>
</x:table>
</file>

<file path=xl/tables/table12.xml><?xml version="1.0" encoding="utf-8"?>
<x:table xmlns:x="http://schemas.openxmlformats.org/spreadsheetml/2006/main" id="12" name="ChoiceListsTable" displayName="ChoiceListsTable" ref="A5:B23" headerRowCount="1" totalsRowCount="0" totalsRowShown="0">
  <x:autoFilter ref="A5:B23"/>
  <x:tableColumns count="2">
    <x:tableColumn id="1" name="Lijst"/>
    <x:tableColumn id="2" name="Waarde"/>
  </x:tableColumns>
  <x:tableStyleInfo name="TableStyleMedium2" showFirstColumn="0" showLastColumn="0" showRowStripes="1" showColumnStripes="0"/>
</x:table>
</file>

<file path=xl/tables/table13.xml><?xml version="1.0" encoding="utf-8"?>
<x:table xmlns:x="http://schemas.openxmlformats.org/spreadsheetml/2006/main" id="28" name="PricingProcurementTable" displayName="PricingProcurementTable" ref="A5:Y34" headerRowCount="1" totalsRowCount="0" totalsRowShown="0">
  <x:tableColumns count="25">
    <x:tableColumn id="1" name="Aanbieding-ID"/>
    <x:tableColumn id="2" name="Recordtype"/>
    <x:tableColumn id="3" name="Interne-ID"/>
    <x:tableColumn id="4" name="Categorie"/>
    <x:tableColumn id="5" name="Subcategorie"/>
    <x:tableColumn id="6" name="Omschrijving"/>
    <x:tableColumn id="7" name="Eenheid"/>
    <x:tableColumn id="8" name="Inkoopprijs excl. btw"/>
    <x:tableColumn id="9" name="Valuta"/>
    <x:tableColumn id="10" name="Opslag %"/>
    <x:tableColumn id="11" name="Leverancier-ID"/>
    <x:tableColumn id="12" name="Leveranciers-artikelcode"/>
    <x:tableColumn id="13" name="Serie"/>
    <x:tableColumn id="14" name="Maten"/>
    <x:tableColumn id="15" name="Materiaal"/>
    <x:tableColumn id="16" name="Bestel-URL"/>
    <x:tableColumn id="17" name="Prijsdatum"/>
    <x:tableColumn id="18" name="Prijsstatus"/>
    <x:tableColumn id="19" name="Afbeelding-ID"/>
    <x:tableColumn id="20" name="Afbeelding-bron-URL"/>
    <x:tableColumn id="21" name="Lokale afbeelding"/>
    <x:tableColumn id="22" name="Afbeeldingstatus"/>
    <x:tableColumn id="23" name="Notitie"/>
    <x:tableColumn id="24" name="Effectieve rang"/>
    <x:tableColumn id="25" name="Afbeelding preview"/>
  </x:tableColumns>
  <x:tableStyleInfo name="TableStyleMedium2" showFirstColumn="0" showLastColumn="0" showRowStripes="1" showColumnStripes="0"/>
</x:table>
</file>

<file path=xl/tables/table14.xml><?xml version="1.0" encoding="utf-8"?>
<x:table xmlns:x="http://schemas.openxmlformats.org/spreadsheetml/2006/main" id="14" name="ToolsTable" displayName="ToolsTable" ref="A5:U10" headerRowCount="1" totalsRowCount="0" totalsRowShown="0">
  <x:tableColumns count="21">
    <x:tableColumn id="1" name="Gereedschap-ID"/>
    <x:tableColumn id="2" name="Naam"/>
    <x:tableColumn id="3" name="Type"/>
    <x:tableColumn id="4" name="Snijdiameter mm"/>
    <x:tableColumn id="5" name="Punthoek °"/>
    <x:tableColumn id="6" name="Puntdiameter mm"/>
    <x:tableColumn id="7" name="Schacht Ø mm"/>
    <x:tableColumn id="8" name="Snijkanten"/>
    <x:tableColumn id="9" name="Voeding mm/min"/>
    <x:tableColumn id="10" name="Plunge mm/min"/>
    <x:tableColumn id="11" name="Toerental rpm"/>
    <x:tableColumn id="12" name="Stapdiepte mm"/>
    <x:tableColumn id="13" name="Conuslengte mm"/>
    <x:tableColumn id="14" name="Cilindrische snijlengte mm"/>
    <x:tableColumn id="15" name="Max. veilige diepte mm"/>
    <x:tableColumn id="16" name="Toepassing"/>
    <x:tableColumn id="17" name="Materiaal"/>
    <x:tableColumn id="18" name="Z-referentie"/>
    <x:tableColumn id="19" name="Rotatie"/>
    <x:tableColumn id="20" name="Status"/>
    <x:tableColumn id="21" name="Bron/opmerking"/>
  </x:tableColumns>
  <x:tableStyleInfo name="TableStyleMedium2" showFirstColumn="0" showLastColumn="0" showRowStripes="1" showColumnStripes="0"/>
</x:table>
</file>

<file path=xl/tables/table15.xml><?xml version="1.0" encoding="utf-8"?>
<x:table xmlns:x="http://schemas.openxmlformats.org/spreadsheetml/2006/main" id="15" name="ToolOperationRulesTable" displayName="ToolOperationRulesTable" ref="A14:L16" headerRowCount="1" totalsRowCount="0" totalsRowShown="0">
  <x:tableColumns count="12">
    <x:tableColumn id="1" name="Regel-ID"/>
    <x:tableColumn id="2" name="Product"/>
    <x:tableColumn id="3" name="Optie"/>
    <x:tableColumn id="4" name="Bewerking"/>
    <x:tableColumn id="5" name="Gereedschap-ID"/>
    <x:tableColumn id="6" name="Inclusie"/>
    <x:tableColumn id="7" name="Uitsluitingen"/>
    <x:tableColumn id="8" name="Doelmaat"/>
    <x:tableColumn id="9" name="Bewerkingszijde"/>
    <x:tableColumn id="10" name="Volgorde"/>
    <x:tableColumn id="11" name="Status"/>
    <x:tableColumn id="12" name="Nog ontbrekende data"/>
  </x:tableColumns>
  <x:tableStyleInfo name="TableStyleMedium2" showFirstColumn="0" showLastColumn="0" showRowStripes="1" showColumnStripes="0"/>
</x:table>
</file>

<file path=xl/tables/table16.xml><?xml version="1.0" encoding="utf-8"?>
<x:table xmlns:x="http://schemas.openxmlformats.org/spreadsheetml/2006/main" id="20" name="CamParametersTable" displayName="CamParametersTable" ref="A5:I16" headerRowCount="1" totalsRowCount="0" totalsRowShown="0">
  <x:tableColumns count="9">
    <x:tableColumn id="1" name="Parameter-ID"/>
    <x:tableColumn id="2" name="Sleutel"/>
    <x:tableColumn id="3" name="Parameter"/>
    <x:tableColumn id="4" name="Waarde"/>
    <x:tableColumn id="5" name="Eenheid"/>
    <x:tableColumn id="6" name="Toepassen op"/>
    <x:tableColumn id="7" name="Niet toepassen op"/>
    <x:tableColumn id="8" name="Status"/>
    <x:tableColumn id="9" name="Toelichting"/>
  </x:tableColumns>
  <x:tableStyleInfo name="TableStyleMedium2" showFirstColumn="0" showLastColumn="0" showRowStripes="1" showColumnStripes="0"/>
</x:table>
</file>

<file path=xl/tables/table17.xml><?xml version="1.0" encoding="utf-8"?>
<x:table xmlns:x="http://schemas.openxmlformats.org/spreadsheetml/2006/main" id="26" name="SuppliersTable" displayName="SuppliersTable" ref="A5:I9" headerRowCount="1" totalsRowCount="0" totalsRowShown="0">
  <x:tableColumns count="9">
    <x:tableColumn id="1" name="Leverancier-ID"/>
    <x:tableColumn id="2" name="Naam"/>
    <x:tableColumn id="3" name="Korte naam"/>
    <x:tableColumn id="4" name="Website"/>
    <x:tableColumn id="5" name="Land/regio"/>
    <x:tableColumn id="6" name="Assortiment"/>
    <x:tableColumn id="7" name="Status"/>
    <x:tableColumn id="8" name="Laatst gecontroleerd"/>
    <x:tableColumn id="9" name="Opmerking"/>
  </x:tableColumns>
  <x:tableStyleInfo name="TableStyleMedium2" showFirstColumn="0" showLastColumn="0" showRowStripes="1" showColumnStripes="0"/>
</x:table>
</file>

<file path=xl/tables/table18.xml><?xml version="1.0" encoding="utf-8"?>
<x:table xmlns:x="http://schemas.openxmlformats.org/spreadsheetml/2006/main" id="27" name="SupplierPreferencesTable" displayName="SupplierPreferencesTable" ref="A16:K19" headerRowCount="1" totalsRowCount="0" totalsRowShown="0">
  <x:tableColumns count="11">
    <x:tableColumn id="1" name="Voorkeur-ID"/>
    <x:tableColumn id="2" name="Categorie"/>
    <x:tableColumn id="3" name="Subcategorie"/>
    <x:tableColumn id="4" name="Leverancier-ID"/>
    <x:tableColumn id="5" name="Rang"/>
    <x:tableColumn id="6" name="Scope-type"/>
    <x:tableColumn id="7" name="Scope-ID"/>
    <x:tableColumn id="8" name="Status"/>
    <x:tableColumn id="9" name="Geldig vanaf"/>
    <x:tableColumn id="10" name="Geldig tot"/>
    <x:tableColumn id="11" name="Uitle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5" dT="2026-08-18T07:29:03.378" personId="{067AC15E-67E7-47BB-9275-CBED9FAD6DB7}" id="{3E59E486-0D64-9B39-FBF0-EAF7F0514440}">
    <xltc:text>Materiaal-ID beschrijft het materiaalrecord. De keuze welk product dit gebruikt hoort in Product-regels.</xltc:text>
  </xltc:threadedComment>
  <xltc:threadedComment ref="D20" dT="2026-08-22T15:48:18.851" personId="{295EB597-3E5F-4458-80DE-1761F59539D7}" id="{F7676146-764A-46E0-3A19-6C3D9CD70773}">
    <xltc:text>Serie 8 gekozen omdat de gedetecteerde zwarte 160x40-afdekkap TIN 100199 uitsluitend voor groef 8 / I-type is opgegeven.</xltc:text>
  </xltc:threadedComment>
</xltc:ThreadedComments>
</file>

<file path=xl/threadedcomments/threadedcomment2.xml><?xml version="1.0" encoding="utf-8"?>
<xltc:ThreadedComments xmlns:xltc="http://schemas.microsoft.com/office/spreadsheetml/2018/threadedcomments">
  <xltc:threadedComment ref="A5" dT="2026-08-18T07:29:03.378" personId="{067AC15E-67E7-47BB-9275-CBED9FAD6DB7}" id="{47D89DD4-6F0B-0311-72DC-EE39CDD9F80C}">
    <xltc:text>Een recept is herbruikbare verbindingslogica en mag door meerdere categorieën/producten worden aangeroepen.</xltc:text>
  </xltc:threadedComment>
</xltc:ThreadedComments>
</file>

<file path=xl/threadedcomments/threadedcomment3.xml><?xml version="1.0" encoding="utf-8"?>
<xltc:ThreadedComments xmlns:xltc="http://schemas.microsoft.com/office/spreadsheetml/2018/threadedcomments">
  <xltc:threadedComment ref="A5" dT="2026-08-18T07:29:03.377" personId="{067AC15E-67E7-47BB-9275-CBED9FAD6DB7}" id="{7E09DE35-7009-A466-1DDC-F4753AE754D4}">
    <xltc:text>Stabiel regel-ID: wijzig een bestaande betekenis niet; maak bij een incompatibele wijziging een nieuwe regel/revisie.</xltc:text>
  </xltc:threadedComment>
  <xltc:threadedComment ref="J29" dT="2026-08-22T16:09:18.933" personId="{EF0C0E8D-9D1A-4B54-8BAC-C78E8E63D8D7}" id="{77F0B780-DCD2-8E66-DB3B-81340D8028B8}">
    <xltc:text>Oriëntatie gecorrigeerd: de onderste 40x80-profielen staan, dus 80 mm verticaal en 40 mm dwars. Dit geldt voor vier omtrekliggers en exact één dwarsligger.</xltc:text>
  </xltc:threadedComment>
</xltc:ThreadedComments>
</file>

<file path=xl/threadedcomments/threadedcomment4.xml><?xml version="1.0" encoding="utf-8"?>
<xltc:ThreadedComments xmlns:xltc="http://schemas.microsoft.com/office/spreadsheetml/2018/threadedcomments">
  <xltc:threadedComment ref="B5" dT="2026-08-18T08:06:29.039" personId="{1343E44D-3911-466C-A002-D6C4464B8592}" id="{0C38FEB9-2138-A3AE-F19F-8E70BD328EB7}">
    <xltc:text>Interne stabiele sleutel waarmee calculatie en BOM aan deze prijsregel koppelen. Niet wijzigen zonder migratie van de codekoppeling.</xltc:text>
  </xltc:threadedComment>
  <xltc:threadedComment ref="H5" dT="2026-08-18T08:06:29.039" personId="{1343E44D-3911-466C-A002-D6C4464B8592}" id="{FF608F07-C774-3F7B-C3BE-F61A909B8484}">
    <xltc:text>Artikelcode van de leverancier. Dit is iets anders dan de interne Sleutel en hoort op de inkoop-BOM.</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903b733036834fe7" /></Relationships>
</file>

<file path=xl/worksheets/_rels/sheet3.xml.rels>&#65279;<?xml version="1.0" encoding="utf-8"?><Relationships xmlns="http://schemas.openxmlformats.org/package/2006/relationships"><Relationship Type="http://schemas.openxmlformats.org/officeDocument/2006/relationships/table" Target="/xl/tables/table2.xml" Id="R38197745d4594c63" /></Relationships>
</file>

<file path=xl/worksheets/_rels/sheet4.xml.rels>&#65279;<?xml version="1.0" encoding="utf-8"?><Relationships xmlns="http://schemas.openxmlformats.org/package/2006/relationships"><Relationship Type="http://schemas.openxmlformats.org/officeDocument/2006/relationships/table" Target="/xl/tables/table3.xml" Id="R933994b1e01f4975" /></Relationships>
</file>

<file path=xl/worksheets/_rels/sheet5.xml.rels>&#65279;<?xml version="1.0" encoding="utf-8"?><Relationships xmlns="http://schemas.openxmlformats.org/package/2006/relationships"><Relationship Type="http://schemas.openxmlformats.org/officeDocument/2006/relationships/comments" Target="/xl/comments1.xml" Id="Ra0a2cd64059d429a" /><Relationship Type="http://schemas.openxmlformats.org/officeDocument/2006/relationships/vmlDrawing" Target="/xl/drawings/vmldrawing.vml" Id="Rb45a719748c34d93" /><Relationship Type="http://schemas.microsoft.com/office/2017/10/relationships/threadedComment" Target="/xl/threadedcomments/threadedcomment.xml" Id="Raf3f76727a234c88" /><Relationship Type="http://schemas.openxmlformats.org/officeDocument/2006/relationships/table" Target="/xl/tables/table4.xml" Id="R893afaaea5fb40e4" /></Relationships>
</file>

<file path=xl/worksheets/_rels/sheet6.xml.rels>&#65279;<?xml version="1.0" encoding="utf-8"?><Relationships xmlns="http://schemas.openxmlformats.org/package/2006/relationships"><Relationship Type="http://schemas.openxmlformats.org/officeDocument/2006/relationships/table" Target="/xl/tables/table5.xml" Id="Rd087e2fd02254188" /></Relationships>
</file>

<file path=xl/worksheets/_rels/sheet7.xml.rels>&#65279;<?xml version="1.0" encoding="utf-8"?><Relationships xmlns="http://schemas.openxmlformats.org/package/2006/relationships"><Relationship Type="http://schemas.openxmlformats.org/officeDocument/2006/relationships/comments" Target="/xl/comments2.xml" Id="R6b5bf53a15014189" /><Relationship Type="http://schemas.openxmlformats.org/officeDocument/2006/relationships/vmlDrawing" Target="/xl/drawings/vmldrawing2.vml" Id="R07a2b214cdc7459c" /><Relationship Type="http://schemas.microsoft.com/office/2017/10/relationships/threadedComment" Target="/xl/threadedcomments/threadedcomment2.xml" Id="Rd2faafc457024bb5" /><Relationship Type="http://schemas.openxmlformats.org/officeDocument/2006/relationships/table" Target="/xl/tables/table6.xml" Id="R52f7070f711b4d30" /></Relationships>
</file>

<file path=xl/worksheets/_rels/sheet8.xml.rels>&#65279;<?xml version="1.0" encoding="utf-8"?><Relationships xmlns="http://schemas.openxmlformats.org/package/2006/relationships"><Relationship Type="http://schemas.openxmlformats.org/officeDocument/2006/relationships/table" Target="/xl/tables/table7.xml" Id="R26f7ee9973614030" /></Relationships>
</file>

<file path=xl/worksheets/_rels/sheet9.xml.rels>&#65279;<?xml version="1.0" encoding="utf-8"?><Relationships xmlns="http://schemas.openxmlformats.org/package/2006/relationships"><Relationship Type="http://schemas.openxmlformats.org/officeDocument/2006/relationships/comments" Target="/xl/comments3.xml" Id="Rbe207a209df947ea" /><Relationship Type="http://schemas.openxmlformats.org/officeDocument/2006/relationships/vmlDrawing" Target="/xl/drawings/vmldrawing3.vml" Id="R237f8069b7cb4d5a" /><Relationship Type="http://schemas.microsoft.com/office/2017/10/relationships/threadedComment" Target="/xl/threadedcomments/threadedcomment3.xml" Id="R5976ebe74a2e4d33" /><Relationship Type="http://schemas.openxmlformats.org/officeDocument/2006/relationships/table" Target="/xl/tables/table8.xml" Id="R9db00119319e46b9" /></Relationships>
</file>

<file path=xl/worksheets/_rels/sheet10.xml.rels>&#65279;<?xml version="1.0" encoding="utf-8"?><Relationships xmlns="http://schemas.openxmlformats.org/package/2006/relationships"><Relationship Type="http://schemas.openxmlformats.org/officeDocument/2006/relationships/table" Target="/xl/tables/table9.xml" Id="R45f9de1c479645e1" /></Relationships>
</file>

<file path=xl/worksheets/_rels/sheet11.xml.rels>&#65279;<?xml version="1.0" encoding="utf-8"?><Relationships xmlns="http://schemas.openxmlformats.org/package/2006/relationships"><Relationship Type="http://schemas.openxmlformats.org/officeDocument/2006/relationships/table" Target="/xl/tables/table10.xml" Id="R5170d38117164330" /></Relationships>
</file>

<file path=xl/worksheets/_rels/sheet12.xml.rels>&#65279;<?xml version="1.0" encoding="utf-8"?><Relationships xmlns="http://schemas.openxmlformats.org/package/2006/relationships"><Relationship Type="http://schemas.openxmlformats.org/officeDocument/2006/relationships/table" Target="/xl/tables/table11.xml" Id="R63e5b6ba4ec447e8" /></Relationships>
</file>

<file path=xl/worksheets/_rels/sheet13.xml.rels>&#65279;<?xml version="1.0" encoding="utf-8"?><Relationships xmlns="http://schemas.openxmlformats.org/package/2006/relationships"><Relationship Type="http://schemas.openxmlformats.org/officeDocument/2006/relationships/table" Target="/xl/tables/table12.xml" Id="Ra2ba3fde144c4330" /></Relationships>
</file>

<file path=xl/worksheets/_rels/sheet14.xml.rels>&#65279;<?xml version="1.0" encoding="utf-8"?><Relationships xmlns="http://schemas.openxmlformats.org/package/2006/relationships"><Relationship Type="http://schemas.openxmlformats.org/officeDocument/2006/relationships/comments" Target="/xl/comments4.xml" Id="R8ee5ed5bf29d46a8" /><Relationship Type="http://schemas.openxmlformats.org/officeDocument/2006/relationships/vmlDrawing" Target="/xl/drawings/vmldrawing4.vml" Id="Rf2156822464d4cae" /><Relationship Type="http://schemas.microsoft.com/office/2017/10/relationships/threadedComment" Target="/xl/threadedcomments/threadedcomment4.xml" Id="Rb77895f1da31412d" /><Relationship Type="http://schemas.openxmlformats.org/officeDocument/2006/relationships/drawing" Target="/xl/drawings/drawing1.xml" Id="Rac6a242650dc44b7" /><Relationship Type="http://schemas.openxmlformats.org/officeDocument/2006/relationships/table" Target="/xl/tables/table13.xml" Id="Rbc8c40fffa5640cb" /></Relationships>
</file>

<file path=xl/worksheets/_rels/sheet15.xml.rels>&#65279;<?xml version="1.0" encoding="utf-8"?><Relationships xmlns="http://schemas.openxmlformats.org/package/2006/relationships"><Relationship Type="http://schemas.openxmlformats.org/officeDocument/2006/relationships/table" Target="/xl/tables/table14.xml" Id="Rfda57bdf29854b5f" /><Relationship Type="http://schemas.openxmlformats.org/officeDocument/2006/relationships/table" Target="/xl/tables/table15.xml" Id="R7443341ec9444d84" /></Relationships>
</file>

<file path=xl/worksheets/_rels/sheet16.xml.rels>&#65279;<?xml version="1.0" encoding="utf-8"?><Relationships xmlns="http://schemas.openxmlformats.org/package/2006/relationships"><Relationship Type="http://schemas.openxmlformats.org/officeDocument/2006/relationships/table" Target="/xl/tables/table16.xml" Id="R7f0d3fa0b0034386" /></Relationships>
</file>

<file path=xl/worksheets/_rels/sheet17.xml.rels>&#65279;<?xml version="1.0" encoding="utf-8"?><Relationships xmlns="http://schemas.openxmlformats.org/package/2006/relationships"><Relationship Type="http://schemas.openxmlformats.org/officeDocument/2006/relationships/table" Target="/xl/tables/table17.xml" Id="Ra822c0d8a85d463f" /><Relationship Type="http://schemas.openxmlformats.org/officeDocument/2006/relationships/table" Target="/xl/tables/table18.xml" Id="R88df06fbe350452b"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26" hidden="0" customWidth="1"/>
    <x:col min="4" max="4" width="24" hidden="0" customWidth="1"/>
    <x:col min="5" max="5" width="30" hidden="0" customWidth="1"/>
    <x:col min="6" max="6" width="22" hidden="0" customWidth="1"/>
    <x:col min="7" max="7" width="22" hidden="0" customWidth="1"/>
    <x:col min="8" max="8" width="20" hidden="0" customWidth="1"/>
  </x:cols>
  <x:sheetData>
    <x:row r="1" ht="32" customHeight="1">
      <x:c r="A1" s="19" t="str">
        <x:v>Productregels, materialen, gereedschappen, prijzen en verbindingen — beheerfundering v2.1</x:v>
      </x:c>
      <x:c r="B1" s="19"/>
      <x:c r="C1" s="19"/>
      <x:c r="D1" s="19"/>
      <x:c r="E1" s="19"/>
      <x:c r="F1" s="19"/>
      <x:c r="G1" s="19"/>
      <x:c r="H1" s="19"/>
    </x:row>
    <x:row r="3" ht="28" customHeight="1">
      <x:c r="A3" s="21" t="str">
        <x:v>Doel: één controleerbare bron voor productovererving, materiaal- en componentdata, verbindingsrecepten, uitvoeringsregels en productieblokkades. De tabellen zijn bewust database-achtig opgezet zodat ze later naar een beheeromgeving kunnen migreren.</x:v>
      </x:c>
      <x:c r="B3" s="21"/>
      <x:c r="C3" s="21"/>
      <x:c r="D3" s="21"/>
      <x:c r="E3" s="21"/>
      <x:c r="F3" s="21"/>
      <x:c r="G3" s="21"/>
      <x:c r="H3" s="21"/>
    </x:row>
    <x:row r="4" ht="28" customHeight="1">
      <x:c r="A4" s="21"/>
      <x:c r="B4" s="21"/>
      <x:c r="C4" s="21"/>
      <x:c r="D4" s="21"/>
      <x:c r="E4" s="21"/>
      <x:c r="F4" s="21"/>
      <x:c r="G4" s="21"/>
      <x:c r="H4" s="21"/>
    </x:row>
    <x:row r="6">
      <x:c r="A6" s="24" t="str">
        <x:v>Register</x:v>
      </x:c>
      <x:c r="B6" s="25" t="str">
        <x:v>Aantal</x:v>
      </x:c>
      <x:c r="D6" s="24" t="str">
        <x:v>Kwaliteitsstatus</x:v>
      </x:c>
      <x:c r="E6" s="25" t="str">
        <x:v>Aantal</x:v>
      </x:c>
    </x:row>
    <x:row r="7">
      <x:c r="A7" s="26" t="str">
        <x:v>Productcategorieën</x:v>
      </x:c>
      <x:c r="B7" s="30" t="n">
        <x:f>COUNTA('Productcategorieen'!A6:A500)</x:f>
        <x:v>4</x:v>
      </x:c>
      <x:c r="D7" s="26" t="str">
        <x:v>Open punten</x:v>
      </x:c>
      <x:c r="E7" s="30" t="n">
        <x:f>COUNTA('Open punten'!$A$6:$A$200)</x:f>
        <x:v>14</x:v>
      </x:c>
    </x:row>
    <x:row r="8">
      <x:c r="A8" s="26" t="str">
        <x:v>Producten</x:v>
      </x:c>
      <x:c r="B8" s="30" t="n">
        <x:v>11</x:v>
      </x:c>
      <x:c r="D8" s="26" t="str">
        <x:v>Kritieke open/geblokkeerd</x:v>
      </x:c>
      <x:c r="E8" s="30" t="n">
        <x:f>COUNTIFS('Open punten'!$E$6:$E$200,"Kritiek",'Open punten'!$F$6:$F$200,"&lt;&gt;Goedgekeurd")</x:f>
        <x:v>6</x:v>
      </x:c>
    </x:row>
    <x:row r="9">
      <x:c r="A9" s="26" t="str">
        <x:v>Materialen</x:v>
      </x:c>
      <x:c r="B9" s="30" t="n">
        <x:v>16</x:v>
      </x:c>
      <x:c r="D9" s="26" t="str">
        <x:v>Geblokkeerde productregels</x:v>
      </x:c>
      <x:c r="E9" s="30" t="n">
        <x:f>COUNTIF('Product-regels'!$L$6:$L$300,"Geblokkeerd")</x:f>
        <x:v>0</x:v>
      </x:c>
    </x:row>
    <x:row r="10">
      <x:c r="A10" s="26" t="str">
        <x:v>Componenten</x:v>
      </x:c>
      <x:c r="B10" s="30" t="n">
        <x:v>30</x:v>
      </x:c>
      <x:c r="D10" s="28" t="str">
        <x:v>Productreferentiefouten</x:v>
      </x:c>
      <x:c r="E10" s="31" t="n">
        <x:f>COUNTIF('Producten'!$Q$6:$R$100,"FOUT*")</x:f>
        <x:v>0</x:v>
      </x:c>
    </x:row>
    <x:row r="11">
      <x:c r="A11" s="26" t="str">
        <x:v>Verbindingsrecepten</x:v>
      </x:c>
      <x:c r="B11" s="30" t="n">
        <x:f>COUNTA('Verbindingsrecepten'!A6:A500)</x:f>
        <x:v>10</x:v>
      </x:c>
    </x:row>
    <x:row r="12">
      <x:c r="A12" s="26" t="str">
        <x:v>Categorie-regels</x:v>
      </x:c>
      <x:c r="B12" s="30" t="n">
        <x:f>COUNTA('Categorie-regels'!A6:A500)</x:f>
        <x:v>5</x:v>
      </x:c>
      <x:c r="D12" s="33" t="str">
        <x:v>Publicatie- en wijzigingsflow</x:v>
      </x:c>
      <x:c r="E12" s="33"/>
      <x:c r="F12" s="33"/>
      <x:c r="G12" s="33"/>
      <x:c r="H12" s="33"/>
    </x:row>
    <x:row r="13">
      <x:c r="A13" s="28" t="str">
        <x:v>Product-regels</x:v>
      </x:c>
      <x:c r="B13" s="31" t="n">
        <x:v>50</x:v>
      </x:c>
      <x:c r="D13" s="37" t="str">
        <x:v>1</x:v>
      </x:c>
      <x:c r="E13" s="37" t="str">
        <x:v>Concept</x:v>
      </x:c>
      <x:c r="F13" s="37" t="str">
        <x:v>Nieuwe regel/component aanmaken</x:v>
      </x:c>
      <x:c r="G13" s="37" t="str">
        <x:v>Technisch eigenaar</x:v>
      </x:c>
      <x:c r="H13" s="37" t="str">
        <x:v>Niet exporteerbaar</x:v>
      </x:c>
    </x:row>
    <x:row r="14">
      <x:c r="A14" s="62" t="str">
        <x:v>Prijs- en inkoopregels</x:v>
      </x:c>
      <x:c r="B14" s="63" t="n">
        <x:v>35</x:v>
      </x:c>
      <x:c r="D14" s="38" t="str">
        <x:v>2</x:v>
      </x:c>
      <x:c r="E14" s="38" t="str">
        <x:v>Technisch gecontroleerd</x:v>
      </x:c>
      <x:c r="F14" s="38" t="str">
        <x:v>Maten, normen en conflicten controleren</x:v>
      </x:c>
      <x:c r="G14" s="38" t="str">
        <x:v>Reviewer</x:v>
      </x:c>
      <x:c r="H14" s="38" t="str">
        <x:v>Alleen testexport</x:v>
      </x:c>
    </x:row>
    <x:row r="15">
      <x:c r="A15" t="str">
        <x:v>Gereedschappen</x:v>
      </x:c>
      <x:c r="B15" t="n">
        <x:f>COUNTA('Gereedschappen'!A6:A500)</x:f>
        <x:v>9</x:v>
      </x:c>
      <x:c r="D15" s="362" t="n">
        <x:v>3</x:v>
      </x:c>
      <x:c r="E15" s="362" t="str">
        <x:v>Proefstuk</x:v>
      </x:c>
      <x:c r="F15" s="38" t="str">
        <x:v>Fysieke passing/belasting vastleggen</x:v>
      </x:c>
      <x:c r="G15" s="38" t="str">
        <x:v>Werkplaats</x:v>
      </x:c>
      <x:c r="H15" s="38" t="str">
        <x:v>Productiepilot</x:v>
      </x:c>
    </x:row>
    <x:row r="16">
      <x:c r="A16" s="33" t="str">
        <x:v>Hoofdregel voor beheer</x:v>
      </x:c>
      <x:c r="B16" s="33"/>
      <x:c r="D16" s="38" t="str">
        <x:v>4</x:v>
      </x:c>
      <x:c r="E16" s="38" t="str">
        <x:v>Productie-goedgekeurd</x:v>
      </x:c>
      <x:c r="F16" s="38" t="str">
        <x:v>Controles groen en revisie bevroren</x:v>
      </x:c>
      <x:c r="G16" s="38" t="str">
        <x:v>Vrijgever</x:v>
      </x:c>
      <x:c r="H16" s="38" t="str">
        <x:v>Productie toegestaan</x:v>
      </x:c>
    </x:row>
    <x:row r="17">
      <x:c r="A17" s="42" t="str">
        <x:v>Wijzig nooit stilzwijgend een bestaande component- of regel-ID. Maak een nieuwe versie, leg de wijziging vast en laat bestaande projecten hun gebruikte versie behouden. Een nieuw product zonder geldige categorie, overerving en vrijgegeven verbindingsregels mag niet exporteren of online komen.</x:v>
      </x:c>
      <x:c r="B17" s="42"/>
      <x:c r="D17" s="39" t="str">
        <x:v>5</x:v>
      </x:c>
      <x:c r="E17" s="39" t="str">
        <x:v>Online</x:v>
      </x:c>
      <x:c r="F17" s="39" t="str">
        <x:v>Prijs, voorraad en documentatie compleet</x:v>
      </x:c>
      <x:c r="G17" s="39" t="str">
        <x:v>Productbeheer</x:v>
      </x:c>
      <x:c r="H17" s="39" t="str">
        <x:v>Verkoop toegestaan</x:v>
      </x:c>
    </x:row>
    <x:row r="18">
      <x:c r="A18" s="42"/>
      <x:c r="B18" s="42"/>
    </x:row>
    <x:row r="19">
      <x:c r="A19" s="390"/>
      <x:c r="B19" s="391"/>
    </x:row>
    <x:row r="20">
      <x:c r="A20" s="392"/>
      <x:c r="B20" s="393"/>
    </x:row>
    <x:row r="21">
      <x:c r="A21" s="394"/>
      <x:c r="B21" s="395"/>
    </x:row>
    <x:row r="23">
      <x:c r="A23" s="23" t="str">
        <x:v>Aanbevolen migratiepad</x:v>
      </x:c>
      <x:c r="B23" s="23"/>
      <x:c r="C23" s="23"/>
      <x:c r="D23" s="23"/>
      <x:c r="E23" s="23"/>
      <x:c r="F23" s="23"/>
      <x:c r="G23" s="23"/>
      <x:c r="H23" s="23"/>
    </x:row>
    <x:row r="24">
      <x:c r="A24" s="37" t="str">
        <x:v>Fase 1</x:v>
      </x:c>
      <x:c r="B24" s="37" t="str">
        <x:v>Excel als beheerregister</x:v>
      </x:c>
      <x:c r="C24" s="37" t="str">
        <x:v>Stabiele kolommen/ID's; handmatige review</x:v>
      </x:c>
      <x:c r="D24" s="37" t="str"/>
      <x:c r="E24" s="37" t="str"/>
      <x:c r="F24" s="37" t="str"/>
      <x:c r="G24" s="37" t="str"/>
      <x:c r="H24" s="37" t="str">
        <x:v>Nu</x:v>
      </x:c>
    </x:row>
    <x:row r="25">
      <x:c r="A25" s="38" t="str">
        <x:v>Fase 2</x:v>
      </x:c>
      <x:c r="B25" s="38" t="str">
        <x:v>Importvalidatie</x:v>
      </x:c>
      <x:c r="C25" s="38" t="str">
        <x:v>Excel inlezen, referenties en duplicaten automatisch controleren</x:v>
      </x:c>
      <x:c r="D25" s="38" t="str"/>
      <x:c r="E25" s="38" t="str"/>
      <x:c r="F25" s="38" t="str"/>
      <x:c r="G25" s="38" t="str"/>
      <x:c r="H25" s="38" t="str">
        <x:v>Na v0.1</x:v>
      </x:c>
    </x:row>
    <x:row r="26">
      <x:c r="A26" s="38" t="str">
        <x:v>Fase 3</x:v>
      </x:c>
      <x:c r="B26" s="38" t="str">
        <x:v>Beheeromgeving</x:v>
      </x:c>
      <x:c r="C26" s="38" t="str">
        <x:v>Zelfde entiteiten als formulieren/API met rollen en revisies</x:v>
      </x:c>
      <x:c r="D26" s="38" t="str"/>
      <x:c r="E26" s="38" t="str"/>
      <x:c r="F26" s="38" t="str"/>
      <x:c r="G26" s="38" t="str"/>
      <x:c r="H26" s="38" t="str">
        <x:v>Bij catalogusgroei</x:v>
      </x:c>
    </x:row>
    <x:row r="27">
      <x:c r="A27" s="39" t="str">
        <x:v>Fase 4</x:v>
      </x:c>
      <x:c r="B27" s="39" t="str">
        <x:v>Publicatie</x:v>
      </x:c>
      <x:c r="C27" s="39" t="str">
        <x:v>Goedgekeurde revisie genereert portalkeuzes, calculatie, BOM, CAM en documentatie</x:v>
      </x:c>
      <x:c r="D27" s="39" t="str"/>
      <x:c r="E27" s="39" t="str"/>
      <x:c r="F27" s="39" t="str"/>
      <x:c r="G27" s="39" t="str"/>
      <x:c r="H27" s="39" t="str">
        <x:v>Voor online verkoop</x:v>
      </x:c>
    </x:row>
    <x:row r="29">
      <x:c r="A29" s="410" t="str">
        <x:v>Inkoopregister</x:v>
      </x:c>
      <x:c r="B29" s="410"/>
    </x:row>
    <x:row r="30">
      <x:c r="A30" s="6" t="str">
        <x:v>Leveranciers</x:v>
      </x:c>
      <x:c r="B30" s="6" t="n">
        <x:f>COUNTA('Leveranciers'!A6:A9)</x:f>
        <x:v>4</x:v>
      </x:c>
    </x:row>
    <x:row r="31">
      <x:c r="A31" s="6" t="str">
        <x:v>Leveranciersvoorkeuren</x:v>
      </x:c>
      <x:c r="B31" s="6" t="n">
        <x:f>COUNTA('Leveranciers'!A17:A100)</x:f>
        <x:v>3</x:v>
      </x:c>
    </x:row>
    <x:row r="32">
      <x:c r="A32" s="6" t="str">
        <x:v>Aanbiedingen met lokale afbeelding</x:v>
      </x:c>
      <x:c r="B32" s="6" t="n">
        <x:v>17</x:v>
      </x:c>
    </x:row>
  </x:sheetData>
  <x:mergeCells>
    <x:mergeCell ref="A1:H1"/>
    <x:mergeCell ref="A3:H4"/>
    <x:mergeCell ref="D12:H12"/>
    <x:mergeCell ref="A16:B16"/>
    <x:mergeCell ref="A17:B21"/>
    <x:mergeCell ref="A23:H23"/>
    <x:mergeCell ref="A29:B29"/>
  </x:mergeCells>
  <x:conditionalFormatting sqref="E7:E10">
    <x:cfRule type="cellIs" dxfId="3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34" hidden="0" customWidth="1"/>
    <x:col min="4" max="4" width="48" hidden="0" customWidth="1"/>
    <x:col min="5" max="5" width="42" hidden="0" customWidth="1"/>
    <x:col min="6" max="6" width="48" hidden="0" customWidth="1"/>
  </x:cols>
  <x:sheetData>
    <x:row r="1" ht="28" customHeight="1">
      <x:c r="A1" s="2" t="str">
        <x:v>Dataclassificatie en scheiding</x:v>
      </x:c>
      <x:c r="B1" s="2"/>
      <x:c r="C1" s="2"/>
      <x:c r="D1" s="2"/>
      <x:c r="E1" s="2"/>
      <x:c r="F1" s="2"/>
    </x:row>
    <x:row r="2" ht="34" customHeight="1">
      <x:c r="A2" s="5" t="str">
        <x:v>Beslis hier waar nieuwe informatie thuishoort. Dit voorkomt dat materiaaleigenschappen, productkeuzes en controles later door elkaar lopen.</x:v>
      </x:c>
      <x:c r="B2" s="5"/>
      <x:c r="C2" s="5"/>
      <x:c r="D2" s="5"/>
      <x:c r="E2" s="5"/>
      <x:c r="F2" s="5"/>
    </x:row>
    <x:row r="5" ht="32" customHeight="1">
      <x:c r="A5" s="10" t="str">
        <x:v>Code</x:v>
      </x:c>
      <x:c r="B5" s="11" t="str">
        <x:v>Register</x:v>
      </x:c>
      <x:c r="C5" s="11" t="str">
        <x:v>Hier hoort in</x:v>
      </x:c>
      <x:c r="D5" s="11" t="str">
        <x:v>Voorbeelden</x:v>
      </x:c>
      <x:c r="E5" s="11" t="str">
        <x:v>Hier hoort niet in</x:v>
      </x:c>
      <x:c r="F5" s="12" t="str">
        <x:v>Ontwerpreden</x:v>
      </x:c>
    </x:row>
    <x:row r="6">
      <x:c r="A6" s="13" t="str">
        <x:v>MAT</x:v>
      </x:c>
      <x:c r="B6" s="13" t="str">
        <x:v>Materialen</x:v>
      </x:c>
      <x:c r="C6" s="13" t="str">
        <x:v>Intrinsieke, productonafhankelijke eigenschappen</x:v>
      </x:c>
      <x:c r="D6" s="13" t="str">
        <x:v>Materiaalsoort, handelsmaat, dikte, verspaanbaarheid, bron en verificatie</x:v>
      </x:c>
      <x:c r="E6" s="13" t="str">
        <x:v>Welk materiaal een specifiek product standaard kiest</x:v>
      </x:c>
      <x:c r="F6" s="13" t="str">
        <x:v>Eén materiaalrecord kan door veel producten worden gebruikt</x:v>
      </x:c>
    </x:row>
    <x:row r="7">
      <x:c r="A7" s="14" t="str">
        <x:v>CMP</x:v>
      </x:c>
      <x:c r="B7" s="14" t="str">
        <x:v>Componenten</x:v>
      </x:c>
      <x:c r="C7" s="14" t="str">
        <x:v>Inkoop-/maakdeel en zijn eigen geometrie of capaciteit</x:v>
      </x:c>
      <x:c r="D7" s="14" t="str">
        <x:v>Schroefmaten, railpatroon, profielverbinder, artikelnummer, leverancier</x:v>
      </x:c>
      <x:c r="E7" s="14" t="str">
        <x:v>Wanneer een product dit component moet kiezen</x:v>
      </x:c>
      <x:c r="F7" s="14" t="str">
        <x:v>Bibliotheek beschrijft wat bestaat; regels beschrijven de keuze</x:v>
      </x:c>
    </x:row>
    <x:row r="8">
      <x:c r="A8" s="14" t="str">
        <x:v>CON</x:v>
      </x:c>
      <x:c r="B8" s="14" t="str">
        <x:v>Verbindingsrecepten</x:v>
      </x:c>
      <x:c r="C8" s="14" t="str">
        <x:v>Herbruikbare uitvoeringswijze tussen materiaal- of componenttypen</x:v>
      </x:c>
      <x:c r="D8" s="14" t="str">
        <x:v>Verbindingstype, benodigdheden, bewerkingen, minimale grip, controle</x:v>
      </x:c>
      <x:c r="E8" s="14" t="str">
        <x:v>Productspecifieke maat of afwijking</x:v>
      </x:c>
      <x:c r="F8" s="14" t="str">
        <x:v>Recept is een herbruikbare technische bouwsteen</x:v>
      </x:c>
    </x:row>
    <x:row r="9">
      <x:c r="A9" s="14" t="str">
        <x:v>CAT</x:v>
      </x:c>
      <x:c r="B9" s="14" t="str">
        <x:v>Categorie-regels</x:v>
      </x:c>
      <x:c r="C9" s="14" t="str">
        <x:v>Default voor een hele productfamilie</x:v>
      </x:c>
      <x:c r="D9" s="14" t="str">
        <x:v>Kasten gebruiken hout-op-houtrecept; profielproducten vragen een expliciete profielverbinder</x:v>
      </x:c>
      <x:c r="E9" s="14" t="str">
        <x:v>Unieke uitzondering van één product</x:v>
      </x:c>
      <x:c r="F9" s="14" t="str">
        <x:v>Wordt geërfd tenzij een productregel overschrijft</x:v>
      </x:c>
    </x:row>
    <x:row r="10">
      <x:c r="A10" s="14" t="str">
        <x:v>PRD</x:v>
      </x:c>
      <x:c r="B10" s="14" t="str">
        <x:v>Product-regels</x:v>
      </x:c>
      <x:c r="C10" s="14" t="str">
        <x:v>Keuze, uitzondering of parameter van één producttype</x:v>
      </x:c>
      <x:c r="D10" s="14" t="str">
        <x:v>Werkbankkast gebruikt 4x40; plintclip voor gebruikt 4x16</x:v>
      </x:c>
      <x:c r="E10" s="14" t="str">
        <x:v>Algemene schroefafmetingen die voor alle producten gelijk zijn</x:v>
      </x:c>
      <x:c r="F10" s="14" t="str">
        <x:v>Hoogste functionele prioriteit; wijzigingen versieerbaar</x:v>
      </x:c>
    </x:row>
    <x:row r="11">
      <x:c r="A11" s="14" t="str">
        <x:v>VAL</x:v>
      </x:c>
      <x:c r="B11" s="14" t="str">
        <x:v>Controles</x:v>
      </x:c>
      <x:c r="C11" s="14" t="str">
        <x:v>Machineleesbare vrijgave- en veiligheidscontrole</x:v>
      </x:c>
      <x:c r="D11" s="14" t="str">
        <x:v>Geen doorsteek, geen schroefbotsing, component-ID bestaat</x:v>
      </x:c>
      <x:c r="E11" s="14" t="str">
        <x:v>Materiaalbeschrijving of montage-instructie</x:v>
      </x:c>
      <x:c r="F11" s="14" t="str">
        <x:v>Een kritieke fout blokkeert calculatie/export</x:v>
      </x:c>
    </x:row>
    <x:row r="12">
      <x:c r="A12" s="15" t="str">
        <x:v>CHG</x:v>
      </x:c>
      <x:c r="B12" s="15" t="str">
        <x:v>Wijzigingslog</x:v>
      </x:c>
      <x:c r="C12" s="15" t="str">
        <x:v>Historie en besluitvorming</x:v>
      </x:c>
      <x:c r="D12" s="15" t="str">
        <x:v>Wie, wanneer, waarom, oude en nieuwe waarde</x:v>
      </x:c>
      <x:c r="E12" s="15" t="str">
        <x:v>Actuele waarde als los tekstcommentaar</x:v>
      </x:c>
      <x:c r="F12" s="15" t="str">
        <x:v>Nodig voor reproduceerbare oude projecten</x:v>
      </x:c>
    </x:row>
    <x:row r="13">
      <x:c r="A13" t="str">
        <x:v>PRI</x:v>
      </x:c>
      <x:c r="B13" t="str">
        <x:v>Prijs &amp; inkoop</x:v>
      </x:c>
      <x:c r="C13" t="str">
        <x:v>Leveranciersaanbieding, prijs, artikelcode, serie, bestelbron en afbeelding-ID</x:v>
      </x:c>
      <x:c r="D13" t="str">
        <x:v>Aanbieding per materiaal/component; lokale afbeelding en preview</x:v>
      </x:c>
      <x:c r="E13" t="str">
        <x:v>Intrinsieke productgeometrie of leveranciersvoorkeursrang</x:v>
      </x:c>
      <x:c r="F13" t="str">
        <x:v>Eén leidende aanbiedingstabel voor calculatie, inkoop-BOM en cataloguspreview</x:v>
      </x:c>
    </x:row>
    <x:row r="14" ht="50" customHeight="1">
      <x:c r="A14" s="282" t="str">
        <x:v>TLS</x:v>
      </x:c>
      <x:c r="B14" s="282" t="str">
        <x:v>Gereedschappen</x:v>
      </x:c>
      <x:c r="C14" s="282" t="str">
        <x:v>Frees-/boorgeometrie, CAM-waarden, veilige dieptes en vrijgavestatus</x:v>
      </x:c>
      <x:c r="D14" s="282" t="str">
        <x:v>Diameter, V-hoek, puntdiameter, schacht, voeding, plunge, toerental en stapdiepte</x:v>
      </x:c>
      <x:c r="E14" s="282" t="str">
        <x:v>Welke gaten/contouren een product met dit gereedschap bewerkt</x:v>
      </x:c>
      <x:c r="F14" s="282" t="str">
        <x:v>Eén gereedschap kan door meerdere product- en CAM-regels veilig worden hergebruikt</x:v>
      </x:c>
    </x:row>
    <x:row r="15" ht="54" customHeight="1">
      <x:c r="A15" s="367" t="str">
        <x:v>CAM</x:v>
      </x:c>
      <x:c r="B15" s="367" t="str">
        <x:v>CAM-parameters</x:v>
      </x:c>
      <x:c r="C15" s="367" t="str">
        <x:v>Algemene machine- en procesinstellingen die productonafhankelijk in iedere CAM-export gelden</x:v>
      </x:c>
      <x:c r="D15" s="367" t="str">
        <x:v>Doorsteek door-en-doorbewerkingen, tabbreedte en resterende tabhoogte</x:v>
      </x:c>
      <x:c r="E15" s="367" t="str">
        <x:v>Productgeometrie, materiaaleigenschappen, gereedschapgeometrie of productspecifieke verbindingskeuzes</x:v>
      </x:c>
      <x:c r="F15" s="367" t="str">
        <x:v>Eén centrale waarde voorkomt verschillende freesdieptes tussen losse delen, nesten en producttypes</x:v>
      </x:c>
    </x:row>
    <x:row r="16">
      <x:c r="A16" t="str">
        <x:v>SUP</x:v>
      </x:c>
      <x:c r="B16" t="str">
        <x:v>Leveranciers</x:v>
      </x:c>
      <x:c r="C16" t="str">
        <x:v>Leveranciersidentiteit plus aparte categorietabel op hetzelfde werkblad</x:v>
      </x:c>
      <x:c r="D16" t="str">
        <x:v>TechXXL rang 1 voor Profiel / Aluminium systeemprofielen</x:v>
      </x:c>
      <x:c r="E16" t="str">
        <x:v>Artikelprijs, productgeometrie of afbeeldingbinary</x:v>
      </x:c>
      <x:c r="F16" t="str">
        <x:v>Voorkeur is een relatie op Leverancier-ID, categorie, subcategorie en scope</x:v>
      </x:c>
    </x:row>
  </x:sheetData>
  <x:mergeCells>
    <x:mergeCell ref="A1:F1"/>
    <x:mergeCell ref="A2:F2"/>
  </x:mergeCells>
  <x:pageMargins left="0.7" right="0.7" top="0.75" bottom="0.75" header="0.3" footer="0.3"/>
  <x:tableParts count="1">
    <x:tablePart xmlns:r="http://schemas.openxmlformats.org/officeDocument/2006/relationships" r:id="R903b733036834fe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2" hidden="0" customWidth="1"/>
    <x:col min="4" max="4" width="56" hidden="0" customWidth="1"/>
    <x:col min="5" max="5" width="26" hidden="0" customWidth="1"/>
    <x:col min="6" max="6" width="46" hidden="0" customWidth="1"/>
    <x:col min="7" max="7" width="18" hidden="0" customWidth="1"/>
    <x:col min="8" max="8" width="10" hidden="0" customWidth="1"/>
    <x:col min="9" max="9" width="14" hidden="0" customWidth="1"/>
  </x:cols>
  <x:sheetData>
    <x:row r="1" ht="28" customHeight="1">
      <x:c r="A1" s="2" t="str">
        <x:v>Productcategorieën</x:v>
      </x:c>
      <x:c r="B1" s="2"/>
      <x:c r="C1" s="2"/>
      <x:c r="D1" s="2"/>
      <x:c r="E1" s="2"/>
      <x:c r="F1" s="2"/>
      <x:c r="G1" s="2"/>
      <x:c r="H1" s="2"/>
      <x:c r="I1" s="2"/>
    </x:row>
    <x:row r="2" ht="34" customHeight="1">
      <x:c r="A2" s="5" t="str">
        <x:v>Categorieën leveren defaults. Zij mogen nooit productspecifieke uitzonderingen of leveranciersmaten verbergen.</x:v>
      </x:c>
      <x:c r="B2" s="5"/>
      <x:c r="C2" s="5"/>
      <x:c r="D2" s="5"/>
      <x:c r="E2" s="5"/>
      <x:c r="F2" s="5"/>
      <x:c r="G2" s="5"/>
      <x:c r="H2" s="5"/>
      <x:c r="I2" s="5"/>
    </x:row>
    <x:row r="5" ht="32" customHeight="1">
      <x:c r="A5" s="10" t="str">
        <x:v>Categorie-ID</x:v>
      </x:c>
      <x:c r="B5" s="11" t="str">
        <x:v>Naam</x:v>
      </x:c>
      <x:c r="C5" s="11" t="str">
        <x:v>Bovenliggende categorie</x:v>
      </x:c>
      <x:c r="D5" s="11" t="str">
        <x:v>Definitie</x:v>
      </x:c>
      <x:c r="E5" s="11" t="str">
        <x:v>Standaard verbindingsrecept</x:v>
      </x:c>
      <x:c r="F5" s="11" t="str">
        <x:v>Beperkingen</x:v>
      </x:c>
      <x:c r="G5" s="11" t="str">
        <x:v>Status</x:v>
      </x:c>
      <x:c r="H5" s="11" t="str">
        <x:v>Versie</x:v>
      </x:c>
      <x:c r="I5" s="12" t="str">
        <x:v>Geldig vanaf</x:v>
      </x:c>
    </x:row>
    <x:row r="6">
      <x:c r="A6" s="13" t="str">
        <x:v>kast</x:v>
      </x:c>
      <x:c r="B6" s="13" t="str">
        <x:v>Kasten en plaatmeubilair</x:v>
      </x:c>
      <x:c r="C6" s="13" t="str"/>
      <x:c r="D6" s="13" t="str">
        <x:v>Dragende constructie hoofdzakelijk uit plaatmateriaal; deuren, laden en legplanken optioneel</x:v>
      </x:c>
      <x:c r="E6" s="13" t="str">
        <x:v>CON_WOOD_EDGE</x:v>
      </x:c>
      <x:c r="F6" s="13" t="str">
        <x:v>Materiaal- en beslagkeuze blijft productspecifiek</x:v>
      </x:c>
      <x:c r="G6" s="13" t="str">
        <x:v>Goedgekeurd</x:v>
      </x:c>
      <x:c r="H6" s="13" t="str">
        <x:v>0.1</x:v>
      </x:c>
      <x:c r="I6" s="13" t="str">
        <x:v>2026-08-18</x:v>
      </x:c>
    </x:row>
    <x:row r="7">
      <x:c r="A7" s="15" t="str">
        <x:v>werkbank</x:v>
      </x:c>
      <x:c r="B7" s="15" t="str">
        <x:v>Werkbanken en werktafels</x:v>
      </x:c>
      <x:c r="C7" s="15" t="str"/>
      <x:c r="D7" s="15" t="str">
        <x:v>Werkoppervlak met kastonderbouw of profielconstructie; constructiewijze moet expliciet per product worden gekozen</x:v>
      </x:c>
      <x:c r="E7" s="15" t="str"/>
      <x:c r="F7" s="15" t="str">
        <x:v>Geen algemene M8-keuze zonder gekozen constructiesysteem</x:v>
      </x:c>
      <x:c r="G7" s="15" t="str">
        <x:v>Voorlopig</x:v>
      </x:c>
      <x:c r="H7" s="15" t="str">
        <x:v>0.1</x:v>
      </x:c>
      <x:c r="I7" s="15" t="str">
        <x:v>2026-08-18</x:v>
      </x:c>
    </x:row>
    <x:row r="8">
      <x:c r="A8" t="str">
        <x:v>profielconstructie</x:v>
      </x:c>
      <x:c r="B8" t="str">
        <x:v>Modulaire profielconstructies</x:v>
      </x:c>
      <x:c r="C8" t="str">
        <x:v>werkbank</x:v>
      </x:c>
      <x:c r="D8" t="str">
        <x:v>Dragende producten uit T-slot systeemprofielen; centrale leverancierscatalogus geldt voor ieder bestaand en nieuw product</x:v>
      </x:c>
      <x:c r="E8"/>
      <x:c r="F8" t="str">
        <x:v>Profielserie en verbindingstechniek moeten onderling compatibel zijn</x:v>
      </x:c>
      <x:c r="G8" t="str">
        <x:v>Voorlopig</x:v>
      </x:c>
      <x:c r="H8" t="str">
        <x:v>1.4</x:v>
      </x:c>
      <x:c r="I8" t="str">
        <x:v>2026-08-22</x:v>
      </x:c>
    </x:row>
    <x:row r="9">
      <x:c r="A9" t="str">
        <x:v>transportverpakking</x:v>
      </x:c>
      <x:c r="B9" t="str">
        <x:v>Transportverpakkingen en demontabele kisten</x:v>
      </x:c>
      <x:c r="C9"/>
      <x:c r="D9" t="str">
        <x:v>Plaatconstructies voor transport waarvan binnenmaten, sluiting, draagvermogen en handling productbepalend zijn</x:v>
      </x:c>
      <x:c r="E9"/>
      <x:c r="F9" t="str">
        <x:v>Clip- en sleufgeometrie moet per clipvariant als proefstuk worden vrijgegeven</x:v>
      </x:c>
      <x:c r="G9" t="str">
        <x:v>Voorlopig</x:v>
      </x:c>
      <x:c r="H9" t="str">
        <x:v>0.1</x:v>
      </x:c>
      <x:c r="I9" s="64" t="n">
        <x:v>46256</x:v>
      </x:c>
    </x:row>
  </x:sheetData>
  <x:mergeCells>
    <x:mergeCell ref="A1:I1"/>
    <x:mergeCell ref="A2:I2"/>
  </x:mergeCells>
  <x:conditionalFormatting sqref="G6:G100">
    <x:cfRule type="containsText" dxfId="0" priority="1" operator="containsText" text="Goedgekeurd"/>
    <x:cfRule type="containsText" dxfId="1" priority="2" operator="containsText" text="Voorlopig"/>
    <x:cfRule type="containsText" dxfId="2" priority="3" operator="containsText" text="Geblokkeerd"/>
    <x:cfRule type="containsText" dxfId="3" priority="4" operator="containsText" text="Open"/>
  </x:conditionalFormatting>
  <x:dataValidations count="1">
    <x:dataValidation type="list" sqref="G6:G100">
      <x:formula1>"Goedgekeurd,Voorlopig,Te controleren,Open,Geblokkeerd,Vervallen"</x:formula1>
    </x:dataValidation>
  </x:dataValidations>
  <x:pageMargins left="0.7" right="0.7" top="0.75" bottom="0.75" header="0.3" footer="0.3"/>
  <x:tableParts count="1">
    <x:tablePart xmlns:r="http://schemas.openxmlformats.org/officeDocument/2006/relationships" r:id="R38197745d4594c6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8" hidden="0" customWidth="1"/>
    <x:col min="4" max="4" width="28" hidden="0" customWidth="1"/>
    <x:col min="5" max="5" width="16" hidden="0" customWidth="1"/>
    <x:col min="6" max="6" width="16" hidden="0" customWidth="1"/>
    <x:col min="7" max="7" width="16" hidden="0" customWidth="1"/>
    <x:col min="8" max="8" width="10" hidden="0" customWidth="1"/>
    <x:col min="9" max="9" width="12" hidden="0" customWidth="1"/>
    <x:col min="10" max="10" width="10" hidden="0" customWidth="1"/>
    <x:col min="11" max="11" width="14" hidden="0" customWidth="1"/>
    <x:col min="12" max="12" width="12" hidden="0" customWidth="1"/>
    <x:col min="13" max="13" width="18" hidden="0" customWidth="1"/>
    <x:col min="14" max="14" width="12" hidden="0" customWidth="1"/>
    <x:col min="15" max="15" width="14" hidden="0" customWidth="1"/>
    <x:col min="16" max="16" width="18" hidden="0" customWidth="1"/>
    <x:col min="17" max="17" width="20" hidden="0" customWidth="1"/>
    <x:col min="18" max="18" width="22" hidden="0" customWidth="1"/>
  </x:cols>
  <x:sheetData>
    <x:row r="1" ht="28" customHeight="1">
      <x:c r="A1" s="2" t="str">
        <x:v>Productregister en overerving</x:v>
      </x:c>
      <x:c r="B1" s="2"/>
      <x:c r="C1" s="2"/>
      <x:c r="D1" s="2"/>
      <x:c r="E1" s="2"/>
      <x:c r="F1" s="2"/>
      <x:c r="G1" s="2"/>
      <x:c r="H1" s="2"/>
      <x:c r="I1" s="2"/>
      <x:c r="J1" s="2"/>
      <x:c r="K1" s="2"/>
      <x:c r="L1" s="2"/>
      <x:c r="M1" s="2"/>
      <x:c r="N1" s="2"/>
      <x:c r="O1" s="2"/>
      <x:c r="P1" s="2"/>
      <x:c r="Q1" s="2"/>
      <x:c r="R1" s="2"/>
    </x:row>
    <x:row r="2" ht="34" customHeight="1">
      <x:c r="A2" s="5" t="str">
        <x:v>Een nieuw product krijgt een stabiel Product-ID, categorie en eventueel basisproduct. Lege productspecifieke waarden worden alleen via expliciete overerving ingevuld.</x:v>
      </x:c>
      <x:c r="B2" s="5"/>
      <x:c r="C2" s="5"/>
      <x:c r="D2" s="5"/>
      <x:c r="E2" s="5"/>
      <x:c r="F2" s="5"/>
      <x:c r="G2" s="5"/>
      <x:c r="H2" s="5"/>
      <x:c r="I2" s="5"/>
      <x:c r="J2" s="5"/>
      <x:c r="K2" s="5"/>
      <x:c r="L2" s="5"/>
      <x:c r="M2" s="5"/>
      <x:c r="N2" s="5"/>
      <x:c r="O2" s="5"/>
      <x:c r="P2" s="5"/>
      <x:c r="Q2" s="5"/>
      <x:c r="R2" s="5"/>
    </x:row>
    <x:row r="5" ht="32" customHeight="1">
      <x:c r="A5" s="10" t="str">
        <x:v>Product-ID</x:v>
      </x:c>
      <x:c r="B5" s="11" t="str">
        <x:v>Naam</x:v>
      </x:c>
      <x:c r="C5" s="11" t="str">
        <x:v>Categorie-ID</x:v>
      </x:c>
      <x:c r="D5" s="11" t="str">
        <x:v>Basisproduct-ID</x:v>
      </x:c>
      <x:c r="E5" s="11" t="str">
        <x:v>Breedte default mm</x:v>
      </x:c>
      <x:c r="F5" s="11" t="str">
        <x:v>Diepte default mm</x:v>
      </x:c>
      <x:c r="G5" s="11" t="str">
        <x:v>Hoogte default mm</x:v>
      </x:c>
      <x:c r="H5" s="11" t="str">
        <x:v>Units</x:v>
      </x:c>
      <x:c r="I5" s="11" t="str">
        <x:v>Legplanken</x:v>
      </x:c>
      <x:c r="J5" s="11" t="str">
        <x:v>Laden</x:v>
      </x:c>
      <x:c r="K5" s="11" t="str">
        <x:v>Startmodus</x:v>
      </x:c>
      <x:c r="L5" s="11" t="str">
        <x:v>Profielen</x:v>
      </x:c>
      <x:c r="M5" s="11" t="str">
        <x:v>Laden ondersteund</x:v>
      </x:c>
      <x:c r="N5" s="11" t="str">
        <x:v>Deuren</x:v>
      </x:c>
      <x:c r="O5" s="11" t="str">
        <x:v>Achterwand</x:v>
      </x:c>
      <x:c r="P5" s="11" t="str">
        <x:v>Status</x:v>
      </x:c>
      <x:c r="Q5" s="11" t="str">
        <x:v>Categoriecontrole</x:v>
      </x:c>
      <x:c r="R5" s="12" t="str">
        <x:v>Overervingscontrole</x:v>
      </x:c>
    </x:row>
    <x:row r="6">
      <x:c r="A6" s="13" t="str">
        <x:v>cabinet</x:v>
      </x:c>
      <x:c r="B6" s="13" t="str">
        <x:v>Cabinet / kast</x:v>
      </x:c>
      <x:c r="C6" s="13" t="str">
        <x:v>kast</x:v>
      </x:c>
      <x:c r="D6" s="13" t="str"/>
      <x:c r="E6" s="13" t="n">
        <x:v>2400</x:v>
      </x:c>
      <x:c r="F6" s="13" t="n">
        <x:v>600</x:v>
      </x:c>
      <x:c r="G6" s="13" t="n">
        <x:v>900</x:v>
      </x:c>
      <x:c r="H6" s="13" t="n">
        <x:v>4</x:v>
      </x:c>
      <x:c r="I6" s="13" t="n">
        <x:v>3</x:v>
      </x:c>
      <x:c r="J6" s="13" t="n">
        <x:v>1</x:v>
      </x:c>
      <x:c r="K6" s="13" t="str">
        <x:v>top</x:v>
      </x:c>
      <x:c r="L6" s="13" t="str">
        <x:v>Nee</x:v>
      </x:c>
      <x:c r="M6" s="13" t="str">
        <x:v>Ja</x:v>
      </x:c>
      <x:c r="N6" s="13" t="str">
        <x:v>Ja</x:v>
      </x:c>
      <x:c r="O6" s="13" t="str">
        <x:v>Ja</x:v>
      </x:c>
      <x:c r="P6" s="13" t="str">
        <x:v>Goedgekeurd</x:v>
      </x:c>
      <x:c r="Q6" s="13" t="str">
        <x:f>IF(C6="","ONTBREEKT",IF(COUNTIF('Productcategorieen'!$A$6:$A$100,C6)=1,"OK","FOUT categorie"))</x:f>
        <x:v>OK</x:v>
      </x:c>
      <x:c r="R6" s="13" t="str">
        <x:f>IF(D6="","n.v.t.",IF(COUNTIF('Producten'!$A$6:$A$100,D6)=1,"OK","FOUT basisproduct"))</x:f>
        <x:v>n.v.t.</x:v>
      </x:c>
    </x:row>
    <x:row r="7">
      <x:c r="A7" s="14" t="str">
        <x:v>vakjeskast</x:v>
      </x:c>
      <x:c r="B7" s="14" t="str">
        <x:v>Vakjeskast</x:v>
      </x:c>
      <x:c r="C7" s="14" t="str">
        <x:v>kast</x:v>
      </x:c>
      <x:c r="D7" s="14" t="str">
        <x:v>cabinet</x:v>
      </x:c>
      <x:c r="E7" s="14" t="n">
        <x:v>1272</x:v>
      </x:c>
      <x:c r="F7" s="14" t="n">
        <x:v>388</x:v>
      </x:c>
      <x:c r="G7" s="14" t="n">
        <x:v>1490</x:v>
      </x:c>
      <x:c r="H7" s="14" t="n">
        <x:v>3</x:v>
      </x:c>
      <x:c r="I7" s="14" t="n">
        <x:v>4</x:v>
      </x:c>
      <x:c r="J7" s="14" t="n">
        <x:v>0</x:v>
      </x:c>
      <x:c r="K7" s="14" t="str">
        <x:v>grid</x:v>
      </x:c>
      <x:c r="L7" s="14" t="str">
        <x:v>Nee</x:v>
      </x:c>
      <x:c r="M7" s="14" t="str">
        <x:v>Nee</x:v>
      </x:c>
      <x:c r="N7" s="14" t="str">
        <x:v>Nee</x:v>
      </x:c>
      <x:c r="O7" s="14" t="str">
        <x:v>Ja</x:v>
      </x:c>
      <x:c r="P7" s="14" t="str">
        <x:v>Goedgekeurd</x:v>
      </x:c>
      <x:c r="Q7" s="14" t="str">
        <x:f>IF(C7="","ONTBREEKT",IF(COUNTIF('Productcategorieen'!$A$6:$A$100,C7)=1,"OK","FOUT categorie"))</x:f>
        <x:v>OK</x:v>
      </x:c>
      <x:c r="R7" s="14" t="str">
        <x:f>IF(D7="","n.v.t.",IF(COUNTIF('Producten'!$A$6:$A$100,D7)=1,"OK","FOUT basisproduct"))</x:f>
        <x:v>OK</x:v>
      </x:c>
    </x:row>
    <x:row r="8">
      <x:c r="A8" s="14" t="str">
        <x:v>werkbankkast</x:v>
      </x:c>
      <x:c r="B8" s="14" t="str">
        <x:v>Werkbank met kastonderbouw</x:v>
      </x:c>
      <x:c r="C8" s="14" t="str">
        <x:v>werkbank</x:v>
      </x:c>
      <x:c r="D8" s="14" t="str">
        <x:v>cabinet</x:v>
      </x:c>
      <x:c r="E8" s="14" t="n">
        <x:v>2400</x:v>
      </x:c>
      <x:c r="F8" s="14" t="n">
        <x:v>600</x:v>
      </x:c>
      <x:c r="G8" s="14" t="n">
        <x:v>900</x:v>
      </x:c>
      <x:c r="H8" s="14" t="n">
        <x:v>4</x:v>
      </x:c>
      <x:c r="I8" s="14" t="n">
        <x:v>3</x:v>
      </x:c>
      <x:c r="J8" s="14" t="n">
        <x:v>0</x:v>
      </x:c>
      <x:c r="K8" s="14" t="str">
        <x:v>bottom</x:v>
      </x:c>
      <x:c r="L8" s="14" t="str">
        <x:v>Nee</x:v>
      </x:c>
      <x:c r="M8" s="14" t="str">
        <x:v>Ja</x:v>
      </x:c>
      <x:c r="N8" s="14" t="str">
        <x:v>Ja</x:v>
      </x:c>
      <x:c r="O8" s="14" t="str">
        <x:v>Ja</x:v>
      </x:c>
      <x:c r="P8" s="14" t="str">
        <x:v>Voorlopig</x:v>
      </x:c>
      <x:c r="Q8" s="14" t="str">
        <x:f>IF(C8="","ONTBREEKT",IF(COUNTIF('Productcategorieen'!$A$6:$A$100,C8)=1,"OK","FOUT categorie"))</x:f>
        <x:v>OK</x:v>
      </x:c>
      <x:c r="R8" s="14" t="str">
        <x:f>IF(D8="","n.v.t.",IF(COUNTIF('Producten'!$A$6:$A$100,D8)=1,"OK","FOUT basisproduct"))</x:f>
        <x:v>OK</x:v>
      </x:c>
    </x:row>
    <x:row r="9">
      <x:c r="A9" s="14" t="str">
        <x:v>werktafel</x:v>
      </x:c>
      <x:c r="B9" s="14" t="str">
        <x:v>Werktafel</x:v>
      </x:c>
      <x:c r="C9" s="14" t="str">
        <x:v>werkbank</x:v>
      </x:c>
      <x:c r="D9" s="14" t="str"/>
      <x:c r="E9" s="14" t="n">
        <x:v>1500</x:v>
      </x:c>
      <x:c r="F9" s="14" t="n">
        <x:v>750</x:v>
      </x:c>
      <x:c r="G9" s="14" t="n">
        <x:v>900</x:v>
      </x:c>
      <x:c r="H9" s="14" t="n">
        <x:v>1</x:v>
      </x:c>
      <x:c r="I9" s="14" t="n">
        <x:v>0</x:v>
      </x:c>
      <x:c r="J9" s="14" t="n">
        <x:v>0</x:v>
      </x:c>
      <x:c r="K9" s="14" t="str">
        <x:v>bottom</x:v>
      </x:c>
      <x:c r="L9" s="14" t="str">
        <x:v>Ja</x:v>
      </x:c>
      <x:c r="M9" s="14" t="str">
        <x:v>Nee</x:v>
      </x:c>
      <x:c r="N9" s="14" t="str">
        <x:v>Nee</x:v>
      </x:c>
      <x:c r="O9" s="14" t="str">
        <x:v>Nee</x:v>
      </x:c>
      <x:c r="P9" s="14" t="str">
        <x:v>Voorlopig</x:v>
      </x:c>
      <x:c r="Q9" s="14" t="str">
        <x:f>IF(C9="","ONTBREEKT",IF(COUNTIF('Productcategorieen'!$A$6:$A$100,C9)=1,"OK","FOUT categorie"))</x:f>
        <x:v>OK</x:v>
      </x:c>
      <x:c r="R9" s="14" t="str">
        <x:f>IF(D9="","n.v.t.",IF(COUNTIF('Producten'!$A$6:$A$100,D9)=1,"OK","FOUT basisproduct"))</x:f>
        <x:v>n.v.t.</x:v>
      </x:c>
    </x:row>
    <x:row r="10">
      <x:c r="A10" s="14" t="str">
        <x:v>werktafel_lex</x:v>
      </x:c>
      <x:c r="B10" s="14" t="str">
        <x:v>Workstation</x:v>
      </x:c>
      <x:c r="C10" s="14" t="str">
        <x:v>werkbank</x:v>
      </x:c>
      <x:c r="D10" s="14" t="str">
        <x:v>werktafel</x:v>
      </x:c>
      <x:c r="E10" s="14" t="n">
        <x:v>1650</x:v>
      </x:c>
      <x:c r="F10" s="14" t="n">
        <x:v>1000</x:v>
      </x:c>
      <x:c r="G10" s="14" t="n">
        <x:v>833</x:v>
      </x:c>
      <x:c r="H10" s="14" t="n">
        <x:v>1</x:v>
      </x:c>
      <x:c r="I10" s="14" t="n">
        <x:v>0</x:v>
      </x:c>
      <x:c r="J10" s="14" t="n">
        <x:v>0</x:v>
      </x:c>
      <x:c r="K10" s="14" t="str">
        <x:v>bottom</x:v>
      </x:c>
      <x:c r="L10" s="14" t="str">
        <x:v>Ja</x:v>
      </x:c>
      <x:c r="M10" s="14" t="str">
        <x:v>Nee</x:v>
      </x:c>
      <x:c r="N10" s="14" t="str">
        <x:v>Nee</x:v>
      </x:c>
      <x:c r="O10" s="14" t="str">
        <x:v>Nee</x:v>
      </x:c>
      <x:c r="P10" s="14" t="str">
        <x:v>Voorlopig</x:v>
      </x:c>
      <x:c r="Q10" s="14" t="str">
        <x:f>IF(C10="","ONTBREEKT",IF(COUNTIF('Productcategorieen'!$A$6:$A$100,C10)=1,"OK","FOUT categorie"))</x:f>
        <x:v>OK</x:v>
      </x:c>
      <x:c r="R10" s="14" t="str">
        <x:f>IF(D10="","n.v.t.",IF(COUNTIF('Producten'!$A$6:$A$100,D10)=1,"OK","FOUT basisproduct"))</x:f>
        <x:v>OK</x:v>
      </x:c>
    </x:row>
    <x:row r="11">
      <x:c r="A11" s="15" t="str">
        <x:v>werktafel_lex_revolution</x:v>
      </x:c>
      <x:c r="B11" s="15" t="str">
        <x:v>Workstation ontwikkelvariant</x:v>
      </x:c>
      <x:c r="C11" s="15" t="str">
        <x:v>werkbank</x:v>
      </x:c>
      <x:c r="D11" s="15" t="str">
        <x:v>werktafel_lex</x:v>
      </x:c>
      <x:c r="E11" s="15" t="n">
        <x:v>1650</x:v>
      </x:c>
      <x:c r="F11" s="15" t="n">
        <x:v>1000</x:v>
      </x:c>
      <x:c r="G11" s="15" t="n">
        <x:v>833</x:v>
      </x:c>
      <x:c r="H11" s="15" t="n">
        <x:v>1</x:v>
      </x:c>
      <x:c r="I11" s="15" t="n">
        <x:v>0</x:v>
      </x:c>
      <x:c r="J11" s="15" t="n">
        <x:v>0</x:v>
      </x:c>
      <x:c r="K11" s="15" t="str">
        <x:v>bottom</x:v>
      </x:c>
      <x:c r="L11" s="15" t="str">
        <x:v>Ja</x:v>
      </x:c>
      <x:c r="M11" s="15" t="str">
        <x:v>Nee</x:v>
      </x:c>
      <x:c r="N11" s="15" t="str">
        <x:v>Nee</x:v>
      </x:c>
      <x:c r="O11" s="15" t="str">
        <x:v>Nee</x:v>
      </x:c>
      <x:c r="P11" s="15" t="str">
        <x:v>Voorlopig</x:v>
      </x:c>
      <x:c r="Q11" s="15" t="str">
        <x:f>IF(C11="","ONTBREEKT",IF(COUNTIF('Productcategorieen'!$A$6:$A$100,C11)=1,"OK","FOUT categorie"))</x:f>
        <x:v>OK</x:v>
      </x:c>
      <x:c r="R11" s="15" t="str">
        <x:f>IF(D11="","n.v.t.",IF(COUNTIF('Producten'!$A$6:$A$100,D11)=1,"OK","FOUT basisproduct"))</x:f>
        <x:v>OK</x:v>
      </x:c>
    </x:row>
    <x:row r="12">
      <x:c r="A12" t="str">
        <x:v>robotcel</x:v>
      </x:c>
      <x:c r="B12" t="str">
        <x:v>Robot cel</x:v>
      </x:c>
      <x:c r="C12" t="str">
        <x:v>profielconstructie</x:v>
      </x:c>
      <x:c r="D12" t="str">
        <x:v>machinebasis</x:v>
      </x:c>
      <x:c r="E12" t="n">
        <x:v>1200</x:v>
      </x:c>
      <x:c r="F12" t="n">
        <x:v>800</x:v>
      </x:c>
      <x:c r="G12" t="n">
        <x:v>900</x:v>
      </x:c>
      <x:c r="H12" t="n">
        <x:v>1</x:v>
      </x:c>
      <x:c r="I12" t="n">
        <x:v>0</x:v>
      </x:c>
      <x:c r="J12" t="n">
        <x:v>0</x:v>
      </x:c>
      <x:c r="K12" t="str">
        <x:v>bottom</x:v>
      </x:c>
      <x:c r="L12" t="str">
        <x:v>Ja</x:v>
      </x:c>
      <x:c r="M12" t="str">
        <x:v>Nee</x:v>
      </x:c>
      <x:c r="N12" t="str">
        <x:v>Nee</x:v>
      </x:c>
      <x:c r="O12" t="str">
        <x:v>Nee</x:v>
      </x:c>
      <x:c r="P12" t="str">
        <x:v>Voorlopig</x:v>
      </x:c>
      <x:c r="Q12" t="str">
        <x:v>OK</x:v>
      </x:c>
      <x:c r="R12" t="str">
        <x:v>OK</x:v>
      </x:c>
    </x:row>
    <x:row r="13">
      <x:c r="A13" t="str">
        <x:v>shipping_box</x:v>
      </x:c>
      <x:c r="B13" t="str">
        <x:v>Shipping box / clipkist</x:v>
      </x:c>
      <x:c r="C13" t="str">
        <x:v>transportverpakking</x:v>
      </x:c>
      <x:c r="D13"/>
      <x:c r="E13" t="n">
        <x:v>1200</x:v>
      </x:c>
      <x:c r="F13" t="n">
        <x:v>800</x:v>
      </x:c>
      <x:c r="G13" t="n">
        <x:v>800</x:v>
      </x:c>
      <x:c r="H13" t="n">
        <x:v>1</x:v>
      </x:c>
      <x:c r="I13" t="n">
        <x:v>0</x:v>
      </x:c>
      <x:c r="J13" t="n">
        <x:v>0</x:v>
      </x:c>
      <x:c r="K13" t="str">
        <x:v>none</x:v>
      </x:c>
      <x:c r="L13" t="str">
        <x:v>Nee</x:v>
      </x:c>
      <x:c r="M13" t="str">
        <x:v>Nee</x:v>
      </x:c>
      <x:c r="N13" t="str">
        <x:v>Nee</x:v>
      </x:c>
      <x:c r="O13" t="str">
        <x:v>Nee</x:v>
      </x:c>
      <x:c r="P13" t="str">
        <x:v>Proefstuk</x:v>
      </x:c>
      <x:c r="Q13" t="str">
        <x:f>IF(C13="","ONTBREEKT",IF(COUNTIF('Productcategorieen'!$A$6:$A$100,C13)=1,"OK","FOUT categorie"))</x:f>
        <x:v>OK</x:v>
      </x:c>
      <x:c r="R13" t="str">
        <x:f>IF(D13="","n.v.t.",IF(COUNTIF('Producten'!$A$6:$A$100,D13)=1,"OK","FOUT basisproduct"))</x:f>
        <x:v>n.v.t.</x:v>
      </x:c>
    </x:row>
    <x:row r="14">
      <x:c r="A14" t="str">
        <x:v>machinebasis</x:v>
      </x:c>
      <x:c r="B14" t="str">
        <x:v>Parametrische machinebasis</x:v>
      </x:c>
      <x:c r="C14" t="str">
        <x:v>profielconstructie</x:v>
      </x:c>
      <x:c r="D14"/>
      <x:c r="E14" t="n">
        <x:v>2000</x:v>
      </x:c>
      <x:c r="F14" t="n">
        <x:v>800</x:v>
      </x:c>
      <x:c r="G14" t="n">
        <x:v>2000</x:v>
      </x:c>
      <x:c r="H14" t="n">
        <x:v>1</x:v>
      </x:c>
      <x:c r="I14" t="n">
        <x:v>0</x:v>
      </x:c>
      <x:c r="J14" t="n">
        <x:v>0</x:v>
      </x:c>
      <x:c r="K14" t="str">
        <x:v>bottom</x:v>
      </x:c>
      <x:c r="L14" t="str">
        <x:v>Ja</x:v>
      </x:c>
      <x:c r="M14" t="str">
        <x:v>Nee</x:v>
      </x:c>
      <x:c r="N14" t="str">
        <x:v>Nee</x:v>
      </x:c>
      <x:c r="O14" t="str">
        <x:v>Nee</x:v>
      </x:c>
      <x:c r="P14" t="str">
        <x:v>Voorlopig</x:v>
      </x:c>
      <x:c r="Q14" t="str">
        <x:v>OK</x:v>
      </x:c>
      <x:c r="R14" t="str">
        <x:v>n.v.t.</x:v>
      </x:c>
    </x:row>
    <x:row r="15">
      <x:c r="A15" t="str">
        <x:v>materiaalwagen</x:v>
      </x:c>
      <x:c r="B15" t="str">
        <x:v>Modulaire materiaal- en gereedschapswagen</x:v>
      </x:c>
      <x:c r="C15" t="str">
        <x:v>profielconstructie</x:v>
      </x:c>
      <x:c r="D15" t="str">
        <x:v>werktafel</x:v>
      </x:c>
      <x:c r="E15" t="n">
        <x:v>1000</x:v>
      </x:c>
      <x:c r="F15" t="n">
        <x:v>650</x:v>
      </x:c>
      <x:c r="G15" t="n">
        <x:v>950</x:v>
      </x:c>
      <x:c r="H15" t="n">
        <x:v>1</x:v>
      </x:c>
      <x:c r="I15" t="n">
        <x:v>3</x:v>
      </x:c>
      <x:c r="J15" t="n">
        <x:v>0</x:v>
      </x:c>
      <x:c r="K15" t="str">
        <x:v>bottom</x:v>
      </x:c>
      <x:c r="L15" t="str">
        <x:v>Ja</x:v>
      </x:c>
      <x:c r="M15" t="str">
        <x:v>Nee</x:v>
      </x:c>
      <x:c r="N15" t="str">
        <x:v>Nee</x:v>
      </x:c>
      <x:c r="O15" t="str">
        <x:v>Nee</x:v>
      </x:c>
      <x:c r="P15" t="str">
        <x:v>Voorlopig</x:v>
      </x:c>
      <x:c r="Q15" t="str">
        <x:v>OK</x:v>
      </x:c>
      <x:c r="R15" t="str">
        <x:v>OK</x:v>
      </x:c>
    </x:row>
    <x:row r="16">
      <x:c r="A16" t="str">
        <x:v>sim_rig_4080</x:v>
      </x:c>
      <x:c r="B16" t="str">
        <x:v>Modulaire sim-racing-rig 40x80</x:v>
      </x:c>
      <x:c r="C16" t="str">
        <x:v>profielconstructie</x:v>
      </x:c>
      <x:c r="D16" t="str">
        <x:v>werktafel</x:v>
      </x:c>
      <x:c r="E16" t="n">
        <x:v>680</x:v>
      </x:c>
      <x:c r="F16" t="n">
        <x:v>1350</x:v>
      </x:c>
      <x:c r="G16" t="n">
        <x:v>660</x:v>
      </x:c>
      <x:c r="H16" t="n">
        <x:v>1</x:v>
      </x:c>
      <x:c r="I16" t="n">
        <x:v>0</x:v>
      </x:c>
      <x:c r="J16" t="n">
        <x:v>0</x:v>
      </x:c>
      <x:c r="K16" t="str">
        <x:v>none</x:v>
      </x:c>
      <x:c r="L16" t="str">
        <x:v>Ja</x:v>
      </x:c>
      <x:c r="M16" t="str">
        <x:v>Nee</x:v>
      </x:c>
      <x:c r="N16" t="str">
        <x:v>Nee</x:v>
      </x:c>
      <x:c r="O16" t="str">
        <x:v>Nee</x:v>
      </x:c>
      <x:c r="P16" t="str">
        <x:v>Voorlopig</x:v>
      </x:c>
      <x:c r="Q16" t="str">
        <x:v>OK</x:v>
      </x:c>
      <x:c r="R16" t="str">
        <x:v>OK</x:v>
      </x:c>
    </x:row>
  </x:sheetData>
  <x:mergeCells>
    <x:mergeCell ref="A1:R1"/>
    <x:mergeCell ref="A2:R2"/>
  </x:mergeCells>
  <x:conditionalFormatting sqref="P6:P100">
    <x:cfRule type="containsText" dxfId="4" priority="1" operator="containsText" text="Goedgekeurd"/>
    <x:cfRule type="containsText" dxfId="5" priority="2" operator="containsText" text="Voorlopig"/>
    <x:cfRule type="containsText" dxfId="6" priority="3" operator="containsText" text="Geblokkeerd"/>
    <x:cfRule type="containsText" dxfId="7" priority="4" operator="containsText" text="Open"/>
  </x:conditionalFormatting>
  <x:conditionalFormatting sqref="Q6:R11">
    <x:cfRule type="containsText" dxfId="8" priority="5" operator="containsText" text="FOUT"/>
    <x:cfRule type="containsText" dxfId="9" priority="6" operator="containsText" text="OK"/>
  </x:conditionalFormatting>
  <x:dataValidations count="5">
    <x:dataValidation type="list" sqref="P6:P100">
      <x:formula1>"Goedgekeurd,Voorlopig,Te controleren,Open,Geblokkeerd,Vervallen"</x:formula1>
    </x:dataValidation>
    <x:dataValidation type="list" sqref="L6:L100">
      <x:formula1>"Ja,Nee"</x:formula1>
    </x:dataValidation>
    <x:dataValidation type="list" sqref="M6:M100">
      <x:formula1>"Ja,Nee"</x:formula1>
    </x:dataValidation>
    <x:dataValidation type="list" sqref="N6:N100">
      <x:formula1>"Ja,Nee"</x:formula1>
    </x:dataValidation>
    <x:dataValidation type="list" sqref="O6:O100">
      <x:formula1>"Ja,Nee"</x:formula1>
    </x:dataValidation>
  </x:dataValidations>
  <x:pageMargins left="0.7" right="0.7" top="0.75" bottom="0.75" header="0.3" footer="0.3"/>
  <x:tableParts count="1">
    <x:tablePart xmlns:r="http://schemas.openxmlformats.org/officeDocument/2006/relationships" r:id="R933994b1e01f497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18" hidden="0" customWidth="1"/>
    <x:col min="4" max="4" width="24" hidden="0" customWidth="1"/>
    <x:col min="5" max="5" width="12" hidden="0" customWidth="1"/>
    <x:col min="6" max="6" width="13" hidden="0" customWidth="1"/>
    <x:col min="7" max="7" width="13" hidden="0" customWidth="1"/>
    <x:col min="8" max="8" width="17" hidden="0" customWidth="1"/>
    <x:col min="9" max="9" width="17" hidden="0" customWidth="1"/>
    <x:col min="10" max="10" width="28" hidden="0" customWidth="1"/>
    <x:col min="11" max="11" width="38" hidden="0" customWidth="1"/>
    <x:col min="12" max="12" width="48" hidden="0" customWidth="1"/>
    <x:col min="13" max="13" width="18" hidden="0" customWidth="1"/>
    <x:col min="14" max="14" width="28" hidden="0" customWidth="1"/>
  </x:cols>
  <x:sheetData>
    <x:row r="1" ht="28" customHeight="1">
      <x:c r="A1" s="2" t="str">
        <x:v>Algemene materiaalbibliotheek</x:v>
      </x:c>
      <x:c r="B1" s="2"/>
      <x:c r="C1" s="2"/>
      <x:c r="D1" s="2"/>
      <x:c r="E1" s="2"/>
      <x:c r="F1" s="2"/>
      <x:c r="G1" s="2"/>
      <x:c r="H1" s="2"/>
      <x:c r="I1" s="2"/>
      <x:c r="J1" s="2"/>
      <x:c r="K1" s="2"/>
      <x:c r="L1" s="2"/>
      <x:c r="M1" s="2"/>
      <x:c r="N1" s="2"/>
    </x:row>
    <x:row r="2" ht="34" customHeight="1">
      <x:c r="A2" s="5" t="str">
        <x:v>Alleen productonafhankelijke feiten en technische beperkingen. Productkeuzes horen in categorie- of productregels.</x:v>
      </x:c>
      <x:c r="B2" s="5"/>
      <x:c r="C2" s="5"/>
      <x:c r="D2" s="5"/>
      <x:c r="E2" s="5"/>
      <x:c r="F2" s="5"/>
      <x:c r="G2" s="5"/>
      <x:c r="H2" s="5"/>
      <x:c r="I2" s="5"/>
      <x:c r="J2" s="5"/>
      <x:c r="K2" s="5"/>
      <x:c r="L2" s="5"/>
      <x:c r="M2" s="5"/>
      <x:c r="N2" s="5"/>
    </x:row>
    <x:row r="5" ht="32" customHeight="1">
      <x:c r="A5" s="10" t="str">
        <x:v>Materiaal-ID</x:v>
      </x:c>
      <x:c r="B5" s="11" t="str">
        <x:v>Familie</x:v>
      </x:c>
      <x:c r="C5" s="11" t="str">
        <x:v>Vorm</x:v>
      </x:c>
      <x:c r="D5" s="11" t="str">
        <x:v>Kwaliteit/type</x:v>
      </x:c>
      <x:c r="E5" s="11" t="str">
        <x:v>Dikte mm</x:v>
      </x:c>
      <x:c r="F5" s="11" t="str">
        <x:v>Breedte mm</x:v>
      </x:c>
      <x:c r="G5" s="11" t="str">
        <x:v>Hoogte mm</x:v>
      </x:c>
      <x:c r="H5" s="11" t="str">
        <x:v>Handelslengte mm</x:v>
      </x:c>
      <x:c r="I5" s="11" t="str">
        <x:v>Handelsbreedte mm</x:v>
      </x:c>
      <x:c r="J5" s="11" t="str">
        <x:v>Materiaalgroep</x:v>
      </x:c>
      <x:c r="K5" s="11" t="str">
        <x:v>Toegestane processen</x:v>
      </x:c>
      <x:c r="L5" s="11" t="str">
        <x:v>Algemene aandachtspunten</x:v>
      </x:c>
      <x:c r="M5" s="11" t="str">
        <x:v>Status</x:v>
      </x:c>
      <x:c r="N5" s="12" t="str">
        <x:v>Bron</x:v>
      </x:c>
    </x:row>
    <x:row r="6">
      <x:c r="A6" s="13" t="str">
        <x:v>osb_18</x:v>
      </x:c>
      <x:c r="B6" s="13" t="str">
        <x:v>OSB</x:v>
      </x:c>
      <x:c r="C6" s="13" t="str">
        <x:v>Plaat</x:v>
      </x:c>
      <x:c r="D6" s="13" t="str">
        <x:v>OSB</x:v>
      </x:c>
      <x:c r="E6" s="13" t="n">
        <x:v>18</x:v>
      </x:c>
      <x:c r="F6" s="13" t="str"/>
      <x:c r="G6" s="13" t="str"/>
      <x:c r="H6" s="13" t="n">
        <x:v>2440</x:v>
      </x:c>
      <x:c r="I6" s="13" t="n">
        <x:v>1220</x:v>
      </x:c>
      <x:c r="J6" s="13" t="str">
        <x:v>Houtachtig plaatmateriaal</x:v>
      </x:c>
      <x:c r="K6" s="13" t="str">
        <x:v>CNC-frezen en boren na proefparameter</x:v>
      </x:c>
      <x:c r="L6" s="13" t="str">
        <x:v>Rand- en schroefregels nog fysiek valideren</x:v>
      </x:c>
      <x:c r="M6" s="13" t="str">
        <x:v>Te controleren</x:v>
      </x:c>
      <x:c r="N6" s="13" t="str">
        <x:v>LibraryCatalog.cs</x:v>
      </x:c>
    </x:row>
    <x:row r="7">
      <x:c r="A7" s="14" t="str">
        <x:v>betonplex_12</x:v>
      </x:c>
      <x:c r="B7" s="14" t="str">
        <x:v>Betonplex</x:v>
      </x:c>
      <x:c r="C7" s="14" t="str">
        <x:v>Plaat</x:v>
      </x:c>
      <x:c r="D7" s="14" t="str">
        <x:v>Berken/film</x:v>
      </x:c>
      <x:c r="E7" s="14" t="n">
        <x:v>12</x:v>
      </x:c>
      <x:c r="F7" s="14" t="str"/>
      <x:c r="G7" s="14" t="str"/>
      <x:c r="H7" s="14" t="n">
        <x:v>2500</x:v>
      </x:c>
      <x:c r="I7" s="14" t="n">
        <x:v>1250</x:v>
      </x:c>
      <x:c r="J7" s="14" t="str">
        <x:v>Houtachtig plaatmateriaal</x:v>
      </x:c>
      <x:c r="K7" s="14" t="str">
        <x:v>CNC-frezen en boren</x:v>
      </x:c>
      <x:c r="L7" s="14" t="str">
        <x:v>Filmzijde en splintergedrag meenemen</x:v>
      </x:c>
      <x:c r="M7" s="14" t="str">
        <x:v>Voorlopig</x:v>
      </x:c>
      <x:c r="N7" s="14" t="str">
        <x:v>LibraryCatalog.cs</x:v>
      </x:c>
    </x:row>
    <x:row r="8">
      <x:c r="A8" s="14" t="str">
        <x:v>betonplex_18</x:v>
      </x:c>
      <x:c r="B8" s="14" t="str">
        <x:v>Betonplex</x:v>
      </x:c>
      <x:c r="C8" s="14" t="str">
        <x:v>Plaat</x:v>
      </x:c>
      <x:c r="D8" s="14" t="str">
        <x:v>Berken/film</x:v>
      </x:c>
      <x:c r="E8" s="14" t="n">
        <x:v>18</x:v>
      </x:c>
      <x:c r="F8" s="14" t="str"/>
      <x:c r="G8" s="14" t="str"/>
      <x:c r="H8" s="14" t="n">
        <x:v>2500</x:v>
      </x:c>
      <x:c r="I8" s="14" t="n">
        <x:v>1250</x:v>
      </x:c>
      <x:c r="J8" s="14" t="str">
        <x:v>Houtachtig plaatmateriaal</x:v>
      </x:c>
      <x:c r="K8" s="14" t="str">
        <x:v>CNC-frezen en boren</x:v>
      </x:c>
      <x:c r="L8" s="14" t="str">
        <x:v>4x40/Ø4 hout-op-hout fysiek getest</x:v>
      </x:c>
      <x:c r="M8" s="14" t="str">
        <x:v>Goedgekeurd</x:v>
      </x:c>
      <x:c r="N8" s="14" t="str">
        <x:v>LibraryCatalog.cs</x:v>
      </x:c>
    </x:row>
    <x:row r="9">
      <x:c r="A9" s="14" t="str">
        <x:v>multiplex_15</x:v>
      </x:c>
      <x:c r="B9" s="14" t="str">
        <x:v>Multiplex</x:v>
      </x:c>
      <x:c r="C9" s="14" t="str">
        <x:v>Plaat</x:v>
      </x:c>
      <x:c r="D9" s="14" t="str">
        <x:v>Onbekend</x:v>
      </x:c>
      <x:c r="E9" s="14" t="n">
        <x:v>15</x:v>
      </x:c>
      <x:c r="F9" s="14" t="str"/>
      <x:c r="G9" s="14" t="str"/>
      <x:c r="H9" s="14" t="n">
        <x:v>2500</x:v>
      </x:c>
      <x:c r="I9" s="14" t="n">
        <x:v>1250</x:v>
      </x:c>
      <x:c r="J9" s="14" t="str">
        <x:v>Houtachtig plaatmateriaal</x:v>
      </x:c>
      <x:c r="K9" s="14" t="str">
        <x:v>CNC-frezen en boren</x:v>
      </x:c>
      <x:c r="L9" s="14" t="str">
        <x:v>Soort en laagopbouw nog specificeren</x:v>
      </x:c>
      <x:c r="M9" s="14" t="str">
        <x:v>Te controleren</x:v>
      </x:c>
      <x:c r="N9" s="14" t="str">
        <x:v>LibraryCatalog.cs</x:v>
      </x:c>
    </x:row>
    <x:row r="10">
      <x:c r="A10" s="14" t="str">
        <x:v>hpl_10_lex</x:v>
      </x:c>
      <x:c r="B10" s="14" t="str">
        <x:v>HPL</x:v>
      </x:c>
      <x:c r="C10" s="14" t="str">
        <x:v>Plaat</x:v>
      </x:c>
      <x:c r="D10" s="14" t="str">
        <x:v>Compact/HPL</x:v>
      </x:c>
      <x:c r="E10" s="14" t="n">
        <x:v>10</x:v>
      </x:c>
      <x:c r="F10" s="14" t="str"/>
      <x:c r="G10" s="14" t="str"/>
      <x:c r="H10" s="14" t="n">
        <x:v>3050</x:v>
      </x:c>
      <x:c r="I10" s="14" t="n">
        <x:v>1300</x:v>
      </x:c>
      <x:c r="J10" s="14" t="str">
        <x:v>Kunststof laminaatplaat</x:v>
      </x:c>
      <x:c r="K10" s="14" t="str">
        <x:v>Frezen met materiaalspecifiek gereedschap</x:v>
      </x:c>
      <x:c r="L10" s="14" t="str">
        <x:v>Schroef-/boutregels niet gelijkstellen aan hout</x:v>
      </x:c>
      <x:c r="M10" s="14" t="str">
        <x:v>Voorlopig</x:v>
      </x:c>
      <x:c r="N10" s="14" t="str">
        <x:v>LibraryCatalog.cs</x:v>
      </x:c>
    </x:row>
    <x:row r="11">
      <x:c r="A11" s="14" t="str">
        <x:v>hpl_6_lex_stabilizer</x:v>
      </x:c>
      <x:c r="B11" s="14" t="str">
        <x:v>HPL</x:v>
      </x:c>
      <x:c r="C11" s="14" t="str">
        <x:v>Plaat</x:v>
      </x:c>
      <x:c r="D11" s="14" t="str">
        <x:v>Compact/HPL</x:v>
      </x:c>
      <x:c r="E11" s="14" t="n">
        <x:v>6</x:v>
      </x:c>
      <x:c r="F11" s="14" t="str"/>
      <x:c r="G11" s="14" t="str"/>
      <x:c r="H11" s="14" t="n">
        <x:v>3050</x:v>
      </x:c>
      <x:c r="I11" s="14" t="n">
        <x:v>1300</x:v>
      </x:c>
      <x:c r="J11" s="14" t="str">
        <x:v>Kunststof laminaatplaat</x:v>
      </x:c>
      <x:c r="K11" s="14" t="str">
        <x:v>Frezen met materiaalspecifiek gereedschap</x:v>
      </x:c>
      <x:c r="L11" s="14" t="str">
        <x:v>Dunne stabilisatieplaat; klempakket controleren</x:v>
      </x:c>
      <x:c r="M11" s="14" t="str">
        <x:v>Voorlopig</x:v>
      </x:c>
      <x:c r="N11" s="14" t="str">
        <x:v>LibraryCatalog.cs</x:v>
      </x:c>
    </x:row>
    <x:row r="12">
      <x:c r="A12" s="14" t="str">
        <x:v>alu_6082_10_adapter</x:v>
      </x:c>
      <x:c r="B12" s="14" t="str">
        <x:v>Aluminium</x:v>
      </x:c>
      <x:c r="C12" s="14" t="str">
        <x:v>Plaat</x:v>
      </x:c>
      <x:c r="D12" s="14" t="str">
        <x:v>EN AW-6082</x:v>
      </x:c>
      <x:c r="E12" s="14" t="n">
        <x:v>10</x:v>
      </x:c>
      <x:c r="F12" s="14" t="str"/>
      <x:c r="G12" s="14" t="str"/>
      <x:c r="H12" s="14" t="n">
        <x:v>2500</x:v>
      </x:c>
      <x:c r="I12" s="14" t="n">
        <x:v>1250</x:v>
      </x:c>
      <x:c r="J12" s="14" t="str">
        <x:v>Metaalplaat</x:v>
      </x:c>
      <x:c r="K12" s="14" t="str">
        <x:v>Metaalfrezen/boren met passende parameters</x:v>
      </x:c>
      <x:c r="L12" s="14" t="str">
        <x:v>Tappen, verzinken en corrosiecombinatie expliciet modelleren</x:v>
      </x:c>
      <x:c r="M12" s="14" t="str">
        <x:v>Voorlopig</x:v>
      </x:c>
      <x:c r="N12" s="14" t="str">
        <x:v>LibraryCatalog.cs</x:v>
      </x:c>
    </x:row>
    <x:row r="13">
      <x:c r="A13" s="14" t="str">
        <x:v>alu_profile_30x30</x:v>
      </x:c>
      <x:c r="B13" s="14" t="str">
        <x:v>Aluminium</x:v>
      </x:c>
      <x:c r="C13" s="14" t="str">
        <x:v>Profiel</x:v>
      </x:c>
      <x:c r="D13" s="14" t="str">
        <x:v>Onbekend profiel</x:v>
      </x:c>
      <x:c r="E13" s="14" t="str"/>
      <x:c r="F13" s="14" t="n">
        <x:v>30</x:v>
      </x:c>
      <x:c r="G13" s="14" t="n">
        <x:v>30</x:v>
      </x:c>
      <x:c r="H13" s="14" t="n">
        <x:v>6000</x:v>
      </x:c>
      <x:c r="I13" s="14" t="str"/>
      <x:c r="J13" s="14" t="str">
        <x:v>Constructieprofiel</x:v>
      </x:c>
      <x:c r="K13" s="14" t="str">
        <x:v>Zagen/boren</x:v>
      </x:c>
      <x:c r="L13" s="14" t="str">
        <x:v>Geen verbindertype vastgelegd</x:v>
      </x:c>
      <x:c r="M13" s="14" t="str">
        <x:v>Open</x:v>
      </x:c>
      <x:c r="N13" s="14" t="str">
        <x:v>LibraryCatalog.cs</x:v>
      </x:c>
    </x:row>
    <x:row r="14">
      <x:c r="A14" s="14" t="str">
        <x:v>alu_profile_40x40</x:v>
      </x:c>
      <x:c r="B14" s="14" t="str">
        <x:v>Aluminium</x:v>
      </x:c>
      <x:c r="C14" s="14" t="str">
        <x:v>Profiel</x:v>
      </x:c>
      <x:c r="D14" s="14" t="str">
        <x:v>Onbekend profiel</x:v>
      </x:c>
      <x:c r="E14" s="14" t="str"/>
      <x:c r="F14" s="14" t="n">
        <x:v>40</x:v>
      </x:c>
      <x:c r="G14" s="14" t="n">
        <x:v>40</x:v>
      </x:c>
      <x:c r="H14" s="14" t="n">
        <x:v>6000</x:v>
      </x:c>
      <x:c r="I14" s="14" t="str"/>
      <x:c r="J14" s="14" t="str">
        <x:v>Constructieprofiel</x:v>
      </x:c>
      <x:c r="K14" s="14" t="str">
        <x:v>Zagen/boren</x:v>
      </x:c>
      <x:c r="L14" s="14" t="str">
        <x:v>Geen verbindertype vastgelegd</x:v>
      </x:c>
      <x:c r="M14" s="14" t="str">
        <x:v>Open</x:v>
      </x:c>
      <x:c r="N14" s="14" t="str">
        <x:v>LibraryCatalog.cs</x:v>
      </x:c>
    </x:row>
    <x:row r="15">
      <x:c r="A15" s="14" t="str">
        <x:v>alu_profile_45x45</x:v>
      </x:c>
      <x:c r="B15" s="14" t="str">
        <x:v>Aluminium</x:v>
      </x:c>
      <x:c r="C15" s="14" t="str">
        <x:v>Profiel</x:v>
      </x:c>
      <x:c r="D15" s="14" t="str">
        <x:v>Onbekend profiel</x:v>
      </x:c>
      <x:c r="E15" s="14" t="str"/>
      <x:c r="F15" s="14" t="n">
        <x:v>45</x:v>
      </x:c>
      <x:c r="G15" s="14" t="n">
        <x:v>45</x:v>
      </x:c>
      <x:c r="H15" s="14" t="n">
        <x:v>6000</x:v>
      </x:c>
      <x:c r="I15" s="14" t="str"/>
      <x:c r="J15" s="14" t="str">
        <x:v>Constructieprofiel</x:v>
      </x:c>
      <x:c r="K15" s="14" t="str">
        <x:v>Zagen/boren</x:v>
      </x:c>
      <x:c r="L15" s="14" t="str">
        <x:v>Geen verbindertype vastgelegd</x:v>
      </x:c>
      <x:c r="M15" s="14" t="str">
        <x:v>Open</x:v>
      </x:c>
      <x:c r="N15" s="14" t="str">
        <x:v>LibraryCatalog.cs</x:v>
      </x:c>
    </x:row>
    <x:row r="16">
      <x:c r="A16" s="14" t="str">
        <x:v>alu_system_40x40</x:v>
      </x:c>
      <x:c r="B16" s="14" t="str">
        <x:v>Aluminium</x:v>
      </x:c>
      <x:c r="C16" s="14" t="str">
        <x:v>Systeemprofiel</x:v>
      </x:c>
      <x:c r="D16" s="14" t="str">
        <x:v>Serie 8 kandidaat</x:v>
      </x:c>
      <x:c r="E16" s="14" t="str"/>
      <x:c r="F16" s="14" t="n">
        <x:v>40</x:v>
      </x:c>
      <x:c r="G16" s="14" t="n">
        <x:v>40</x:v>
      </x:c>
      <x:c r="H16" s="14" t="n">
        <x:v>6000</x:v>
      </x:c>
      <x:c r="I16" s="14" t="str"/>
      <x:c r="J16" s="14" t="str">
        <x:v>T-slot systeemprofiel</x:v>
      </x:c>
      <x:c r="K16" s="14" t="str">
        <x:v>Zagen; groef-/kopbewerking per verbinder</x:v>
      </x:c>
      <x:c r="L16" s="14" t="str">
        <x:v>Groefserie, wanddikte en leverancier verifiëren</x:v>
      </x:c>
      <x:c r="M16" s="14" t="str">
        <x:v>Te controleren</x:v>
      </x:c>
      <x:c r="N16" s="14" t="str">
        <x:v>LibraryCatalog.cs</x:v>
      </x:c>
    </x:row>
    <x:row r="17">
      <x:c r="A17" s="14" t="str">
        <x:v>alu_system_80x40</x:v>
      </x:c>
      <x:c r="B17" s="14" t="str">
        <x:v>Aluminium</x:v>
      </x:c>
      <x:c r="C17" s="14" t="str">
        <x:v>Systeemprofiel</x:v>
      </x:c>
      <x:c r="D17" s="14" t="str">
        <x:v>Serie 10, groef 10, B-type</x:v>
      </x:c>
      <x:c r="E17" s="14"/>
      <x:c r="F17" s="14" t="n">
        <x:v>80</x:v>
      </x:c>
      <x:c r="G17" s="14" t="n">
        <x:v>40</x:v>
      </x:c>
      <x:c r="H17" s="14" t="n">
        <x:v>6040</x:v>
      </x:c>
      <x:c r="I17" s="14"/>
      <x:c r="J17" s="14" t="str">
        <x:v>T-slot systeemprofiel</x:v>
      </x:c>
      <x:c r="K17" s="14" t="str">
        <x:v>Zagen; groef-/kopbewerking met serie-10 toebehoren</x:v>
      </x:c>
      <x:c r="L17" s="14" t="str">
        <x:v>TechXXL TIN 100831; 2,668 kg/m; Ix 17,13 cm4; Iy 62,58 cm4</x:v>
      </x:c>
      <x:c r="M17" s="14" t="str">
        <x:v>Leveranciersdata</x:v>
      </x:c>
      <x:c r="N17" s="14" t="str">
        <x:v>https://www.techxxl.nl/part-100831.html</x:v>
      </x:c>
    </x:row>
    <x:row r="18">
      <x:c r="A18" s="14" t="str">
        <x:v>alu_system_80x80</x:v>
      </x:c>
      <x:c r="B18" s="14" t="str">
        <x:v>Aluminium</x:v>
      </x:c>
      <x:c r="C18" s="14" t="str">
        <x:v>Systeemprofiel</x:v>
      </x:c>
      <x:c r="D18" s="14" t="str">
        <x:v>Serie 10, groef 10, B-type</x:v>
      </x:c>
      <x:c r="E18" s="14"/>
      <x:c r="F18" s="14" t="n">
        <x:v>80</x:v>
      </x:c>
      <x:c r="G18" s="14" t="n">
        <x:v>80</x:v>
      </x:c>
      <x:c r="H18" s="14" t="n">
        <x:v>6040</x:v>
      </x:c>
      <x:c r="I18" s="14"/>
      <x:c r="J18" s="14" t="str">
        <x:v>T-slot systeemprofiel</x:v>
      </x:c>
      <x:c r="K18" s="14" t="str">
        <x:v>Zagen; groef-/kopbewerking met serie-10 toebehoren</x:v>
      </x:c>
      <x:c r="L18" s="14" t="str">
        <x:v>TechXXL TIN 101114; 5,198 kg/m; Ix/Iy 138,14 cm4</x:v>
      </x:c>
      <x:c r="M18" s="14" t="str">
        <x:v>Leveranciersdata</x:v>
      </x:c>
      <x:c r="N18" s="14" t="str">
        <x:v>https://www.techxxl.nl/part-101114.html</x:v>
      </x:c>
    </x:row>
    <x:row r="19">
      <x:c r="A19" s="15" t="str">
        <x:v>steel_tube_40x40</x:v>
      </x:c>
      <x:c r="B19" s="15" t="str">
        <x:v>Staal</x:v>
      </x:c>
      <x:c r="C19" s="15" t="str">
        <x:v>Kokerprofiel</x:v>
      </x:c>
      <x:c r="D19" s="15" t="str">
        <x:v>Onbekend</x:v>
      </x:c>
      <x:c r="E19" s="15" t="str"/>
      <x:c r="F19" s="15" t="n">
        <x:v>40</x:v>
      </x:c>
      <x:c r="G19" s="15" t="n">
        <x:v>40</x:v>
      </x:c>
      <x:c r="H19" s="15" t="n">
        <x:v>6000</x:v>
      </x:c>
      <x:c r="I19" s="15" t="str"/>
      <x:c r="J19" s="15" t="str">
        <x:v>Gelast/koudgevormd profiel</x:v>
      </x:c>
      <x:c r="K19" s="15" t="str">
        <x:v>Zagen; lassen/boren alleen met procesregel</x:v>
      </x:c>
      <x:c r="L19" s="15" t="str">
        <x:v>Wanddikte en staalsoort ontbreken</x:v>
      </x:c>
      <x:c r="M19" s="15" t="str">
        <x:v>Open</x:v>
      </x:c>
      <x:c r="N19" s="15" t="str">
        <x:v>LibraryCatalog.cs</x:v>
      </x:c>
    </x:row>
    <x:row r="20">
      <x:c r="A20" t="str">
        <x:v>alu_system_160x40</x:v>
      </x:c>
      <x:c r="B20" t="str">
        <x:v>Aluminium</x:v>
      </x:c>
      <x:c r="C20" t="str">
        <x:v>Systeemprofiel</x:v>
      </x:c>
      <x:c r="D20" t="str">
        <x:v>Serie 8, groef 8, I-type licht</x:v>
      </x:c>
      <x:c r="E20"/>
      <x:c r="F20" t="n">
        <x:v>160</x:v>
      </x:c>
      <x:c r="G20" t="n">
        <x:v>40</x:v>
      </x:c>
      <x:c r="H20" t="n">
        <x:v>6040</x:v>
      </x:c>
      <x:c r="I20"/>
      <x:c r="J20" t="str">
        <x:v>T-slot systeemprofiel</x:v>
      </x:c>
      <x:c r="K20" t="str">
        <x:v>Zagen; groef-/kopbewerking met serie-8 toebehoren</x:v>
      </x:c>
      <x:c r="L20" t="str">
        <x:v>TechXXL TIN 100559; 5,61 kg/m; Ix 32,69 cm4; Iy 507,97 cm4; passende zwarte eindkap TIN 100199</x:v>
      </x:c>
      <x:c r="M20" t="str">
        <x:v>Leveranciersdata</x:v>
      </x:c>
      <x:c r="N20" t="str">
        <x:v>https://www.techxxl.nl/part-100559.html</x:v>
      </x:c>
    </x:row>
    <x:row r="21">
      <x:c r="A21" t="str">
        <x:v>steel_s235_10_custom</x:v>
      </x:c>
      <x:c r="B21" t="str">
        <x:v>Staal</x:v>
      </x:c>
      <x:c r="C21" t="str">
        <x:v>Plaat</x:v>
      </x:c>
      <x:c r="D21" t="str">
        <x:v>S235JR custom adapterplaat</x:v>
      </x:c>
      <x:c r="E21" t="n">
        <x:v>10</x:v>
      </x:c>
      <x:c r="F21"/>
      <x:c r="G21"/>
      <x:c r="H21"/>
      <x:c r="I21" t="str">
        <x:v>2000x1000</x:v>
      </x:c>
      <x:c r="J21" t="str">
        <x:v>CNC-gesneden montage- en verstelplaat</x:v>
      </x:c>
      <x:c r="K21" t="str">
        <x:v>Frezen/boren of lasersnijden; ontbramen; zwart coaten optioneel</x:v>
      </x:c>
      <x:c r="L21" t="str">
        <x:v>Functionele contour en gaten uit productmanifest; materiaalcertificaat bij productie bevestigen</x:v>
      </x:c>
      <x:c r="M21" t="str">
        <x:v>Voorlopig</x:v>
      </x:c>
      <x:c r="N21" t="str">
        <x:v>config/sim-rig-4080-assembly-manifest.json</x:v>
      </x:c>
    </x:row>
  </x:sheetData>
  <x:mergeCells>
    <x:mergeCell ref="A1:N1"/>
    <x:mergeCell ref="A2:N2"/>
  </x:mergeCells>
  <x:conditionalFormatting sqref="M6:M100">
    <x:cfRule type="containsText" dxfId="10" priority="1" operator="containsText" text="Goedgekeurd"/>
    <x:cfRule type="containsText" dxfId="11" priority="2" operator="containsText" text="Voorlopig"/>
    <x:cfRule type="containsText" dxfId="12" priority="3" operator="containsText" text="Geblokkeerd"/>
    <x:cfRule type="containsText" dxfId="13" priority="4" operator="containsText" text="Open"/>
  </x:conditionalFormatting>
  <x:dataValidations count="1">
    <x:dataValidation type="list" sqref="M6:M100">
      <x:formula1>"Goedgekeurd,Voorlopig,Te controleren,Open,Geblokkeerd,Vervallen"</x:formula1>
    </x:dataValidation>
  </x:dataValidations>
  <x:pageMargins left="0.7" right="0.7" top="0.75" bottom="0.75" header="0.3" footer="0.3"/>
  <x:legacyDrawing xmlns:r="http://schemas.openxmlformats.org/officeDocument/2006/relationships" r:id="Rb45a719748c34d93"/>
  <x:tableParts count="1">
    <x:tablePart xmlns:r="http://schemas.openxmlformats.org/officeDocument/2006/relationships" r:id="R893afaaea5fb40e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0" hidden="0" customWidth="1"/>
    <x:col min="3" max="3" width="42" hidden="0" customWidth="1"/>
    <x:col min="4" max="4" width="28" hidden="0" customWidth="1"/>
    <x:col min="5" max="5" width="18" hidden="0" customWidth="1"/>
    <x:col min="6" max="6" width="30" hidden="0" customWidth="1"/>
    <x:col min="7" max="7" width="50" hidden="0" customWidth="1"/>
    <x:col min="8" max="8" width="32" hidden="0" customWidth="1"/>
    <x:col min="9" max="9" width="46" hidden="0" customWidth="1"/>
    <x:col min="10" max="10" width="18" hidden="0" customWidth="1"/>
    <x:col min="11" max="11" width="30" hidden="0" customWidth="1"/>
    <x:col min="12" max="12" width="22" hidden="0" customWidth="1"/>
    <x:col min="13" max="13" width="22" hidden="0" customWidth="1"/>
  </x:cols>
  <x:sheetData>
    <x:row r="1" ht="28" customHeight="1">
      <x:c r="A1" s="2" t="str">
        <x:v>Algemene componentbibliotheek</x:v>
      </x:c>
      <x:c r="B1" s="2"/>
      <x:c r="C1" s="2"/>
      <x:c r="D1" s="2"/>
      <x:c r="E1" s="2"/>
      <x:c r="F1" s="2"/>
      <x:c r="G1" s="2"/>
      <x:c r="H1" s="2"/>
      <x:c r="I1" s="2"/>
      <x:c r="J1" s="2"/>
      <x:c r="K1" s="2"/>
    </x:row>
    <x:row r="2" ht="34" customHeight="1">
      <x:c r="A2" s="5" t="str">
        <x:v>Specificaties van bevestigers, beslag en inkoopdelen. De productselectie zelf staat niet hier maar in regels/recepten.</x:v>
      </x:c>
      <x:c r="B2" s="5"/>
      <x:c r="C2" s="5"/>
      <x:c r="D2" s="5"/>
      <x:c r="E2" s="5"/>
      <x:c r="F2" s="5"/>
      <x:c r="G2" s="5"/>
      <x:c r="H2" s="5"/>
      <x:c r="I2" s="5"/>
      <x:c r="J2" s="5"/>
      <x:c r="K2" s="5"/>
    </x:row>
    <x:row r="5" ht="36" customHeight="1">
      <x:c r="A5" s="10" t="str">
        <x:v>Component-ID</x:v>
      </x:c>
      <x:c r="B5" s="11" t="str">
        <x:v>Type</x:v>
      </x:c>
      <x:c r="C5" s="11" t="str">
        <x:v>Naam</x:v>
      </x:c>
      <x:c r="D5" s="11" t="str">
        <x:v>Norm/artikel</x:v>
      </x:c>
      <x:c r="E5" s="11" t="str">
        <x:v>Nominale maat</x:v>
      </x:c>
      <x:c r="F5" s="11" t="str">
        <x:v>Lengten/maten</x:v>
      </x:c>
      <x:c r="G5" s="11" t="str">
        <x:v>Geometrie/patroon</x:v>
      </x:c>
      <x:c r="H5" s="11" t="str">
        <x:v>Toepassingsgebied</x:v>
      </x:c>
      <x:c r="I5" s="11" t="str">
        <x:v>Verificatie-opmerking</x:v>
      </x:c>
      <x:c r="J5" s="11" t="str">
        <x:v>Status</x:v>
      </x:c>
      <x:c r="K5" s="12" t="str">
        <x:v>Bron</x:v>
      </x:c>
      <x:c r="L5" s="83" t="str">
        <x:v>Gewenst ontvangend pilotgat Ø mm</x:v>
      </x:c>
      <x:c r="M5" s="83" t="str">
        <x:v>Pilotgat-toepassing</x:v>
      </x:c>
    </x:row>
    <x:row r="6">
      <x:c r="A6" s="13" t="str">
        <x:v>WOODSCREW_4</x:v>
      </x:c>
      <x:c r="B6" s="13" t="str">
        <x:v>Bevestiger</x:v>
      </x:c>
      <x:c r="C6" s="13" t="str">
        <x:v>Houtschroef verzonken kop Ø4</x:v>
      </x:c>
      <x:c r="D6" s="13" t="str"/>
      <x:c r="E6" s="13" t="str">
        <x:v>4</x:v>
      </x:c>
      <x:c r="F6" s="13" t="str">
        <x:v>12;16;20;25;30;35;40;45;50;55;60</x:v>
      </x:c>
      <x:c r="G6" s="13" t="str">
        <x:v>Ø4 doorvoergat in eerste deel; gewenst ontvangend pilotgat Ø3; kop Ø8x3,2</x:v>
      </x:c>
      <x:c r="H6" s="13" t="str">
        <x:v>Hout-op-hout en component-op-hout</x:v>
      </x:c>
      <x:c r="I6" s="13" t="str">
        <x:v>Getest als 4x40 in Ø4</x:v>
      </x:c>
      <x:c r="J6" s="13" t="str">
        <x:v>Goedgekeurd</x:v>
      </x:c>
      <x:c r="K6" s="13" t="str">
        <x:v>LibraryCatalog.cs</x:v>
      </x:c>
      <x:c r="L6" s="90" t="n">
        <x:v>3</x:v>
      </x:c>
      <x:c r="M6" s="90" t="str">
        <x:v>Geldt voor alle beschikbare WOODSCREW_4-lengtes; CNC of handmatig volgens productrecept</x:v>
      </x:c>
    </x:row>
    <x:row r="7">
      <x:c r="A7" s="14" t="str">
        <x:v>M6_ISO4762</x:v>
      </x:c>
      <x:c r="B7" s="14" t="str">
        <x:v>Bevestiger</x:v>
      </x:c>
      <x:c r="C7" s="14" t="str">
        <x:v>M6 inbusbout cilinderkop</x:v>
      </x:c>
      <x:c r="D7" s="14" t="str">
        <x:v>ISO 4762 / DIN 912</x:v>
      </x:c>
      <x:c r="E7" s="14" t="str">
        <x:v>6</x:v>
      </x:c>
      <x:c r="F7" s="14" t="str">
        <x:v>Per klempakket</x:v>
      </x:c>
      <x:c r="G7" s="14" t="str">
        <x:v>Doorvoergat 6,5; kop Ø10x6</x:v>
      </x:c>
      <x:c r="H7" s="14" t="str">
        <x:v>Constructieve boutverbinding</x:v>
      </x:c>
      <x:c r="I7" s="14" t="str">
        <x:v>Lengte/ring/moer nog per recept</x:v>
      </x:c>
      <x:c r="J7" s="14" t="str">
        <x:v>Voorlopig</x:v>
      </x:c>
      <x:c r="K7" s="14" t="str">
        <x:v>LibraryCatalog.cs</x:v>
      </x:c>
      <x:c r="L7" s="97"/>
      <x:c r="M7" s="97"/>
    </x:row>
    <x:row r="8">
      <x:c r="A8" s="14" t="str">
        <x:v>M8_ISO4762</x:v>
      </x:c>
      <x:c r="B8" s="14" t="str">
        <x:v>Bevestiger</x:v>
      </x:c>
      <x:c r="C8" s="14" t="str">
        <x:v>M8 inbusbout cilinderkop</x:v>
      </x:c>
      <x:c r="D8" s="14" t="str">
        <x:v>ISO 4762 / DIN 912</x:v>
      </x:c>
      <x:c r="E8" s="14" t="str">
        <x:v>8</x:v>
      </x:c>
      <x:c r="F8" s="14" t="str">
        <x:v>Per klempakket</x:v>
      </x:c>
      <x:c r="G8" s="14" t="str">
        <x:v>Huidig gat Ø8; normale speling nog uitwerken</x:v>
      </x:c>
      <x:c r="H8" s="14" t="str">
        <x:v>Aluminium constructies voorlopig</x:v>
      </x:c>
      <x:c r="I8" s="14" t="str">
        <x:v>Niet universeel voor ieder profiel</x:v>
      </x:c>
      <x:c r="J8" s="14" t="str">
        <x:v>Voorlopig</x:v>
      </x:c>
      <x:c r="K8" s="14" t="str">
        <x:v>LibraryCatalog.cs</x:v>
      </x:c>
      <x:c r="L8" s="90"/>
      <x:c r="M8" s="90"/>
    </x:row>
    <x:row r="9">
      <x:c r="A9" s="14" t="str">
        <x:v>M10_ISO4762</x:v>
      </x:c>
      <x:c r="B9" s="14" t="str">
        <x:v>Bevestiger</x:v>
      </x:c>
      <x:c r="C9" s="14" t="str">
        <x:v>M10 inbusbout cilinderkop</x:v>
      </x:c>
      <x:c r="D9" s="14" t="str">
        <x:v>ISO 4762 / DIN 912</x:v>
      </x:c>
      <x:c r="E9" s="14" t="str">
        <x:v>10</x:v>
      </x:c>
      <x:c r="F9" s="14" t="str">
        <x:v>Per klempakket</x:v>
      </x:c>
      <x:c r="G9" s="14" t="str">
        <x:v>Doorvoergat 10,5; kop Ø16x10</x:v>
      </x:c>
      <x:c r="H9" s="14" t="str">
        <x:v>Constructieve boutverbinding</x:v>
      </x:c>
      <x:c r="I9" s="14" t="str">
        <x:v>Geen productdefault</x:v>
      </x:c>
      <x:c r="J9" s="14" t="str">
        <x:v>Voorlopig</x:v>
      </x:c>
      <x:c r="K9" s="14" t="str">
        <x:v>LibraryCatalog.cs</x:v>
      </x:c>
      <x:c r="L9" s="97"/>
      <x:c r="M9" s="97"/>
    </x:row>
    <x:row r="10">
      <x:c r="A10" s="14" t="str">
        <x:v>measured_500</x:v>
      </x:c>
      <x:c r="B10" s="14" t="str">
        <x:v>Ladegeleider</x:v>
      </x:c>
      <x:c r="C10" s="14" t="str">
        <x:v>Gemeten ladegeleider 500 mm</x:v>
      </x:c>
      <x:c r="D10" s="14" t="str"/>
      <x:c r="E10" s="14" t="str"/>
      <x:c r="F10" s="14" t="str">
        <x:v>500</x:v>
      </x:c>
      <x:c r="G10" s="14" t="str">
        <x:v>Kastgaten 34;98;226;354;418, ladegaten 27;218;451; gewenste ontvangende pilotgaten kast/lade Ø3</x:v>
      </x:c>
      <x:c r="H10" s="14" t="str">
        <x:v>Bovenlade werkbankkast</x:v>
      </x:c>
      <x:c r="I10" s="14" t="str">
        <x:v>Fysiek getest: Ø4,2x9,5 plaatkop door 0,5 mm rail aan beide zijden van exact 18 mm plaat werkt zonder botsing. AliExpress-kastgatposities 34/98/226/354/418 mm blijven ongewijzigd.</x:v>
      </x:c>
      <x:c r="J10" s="14" t="str">
        <x:v>Goedgekeurd</x:v>
      </x:c>
      <x:c r="K10" s="14" t="str">
        <x:v>HardwareLibraryRepository</x:v>
      </x:c>
      <x:c r="L10" s="90" t="n">
        <x:v>3</x:v>
      </x:c>
      <x:c r="M10" s="90" t="str">
        <x:v>Railbevestiging aan zowel kastzijde als ladezijde</x:v>
      </x:c>
    </x:row>
    <x:row r="11">
      <x:c r="A11" s="14" t="str">
        <x:v>shelf_pin_5mm_32</x:v>
      </x:c>
      <x:c r="B11" s="14" t="str">
        <x:v>Legplankdrager</x:v>
      </x:c>
      <x:c r="C11" s="14" t="str">
        <x:v>Legplankdrager pin 5 mm systeem 32</x:v>
      </x:c>
      <x:c r="D11" s="14" t="str"/>
      <x:c r="E11" s="14" t="str">
        <x:v>5</x:v>
      </x:c>
      <x:c r="F11" s="14" t="str"/>
      <x:c r="G11" s="14" t="str">
        <x:v>Gat Ø5; verticale steek 32</x:v>
      </x:c>
      <x:c r="H11" s="14" t="str">
        <x:v>Verstelbare legplanken</x:v>
      </x:c>
      <x:c r="I11" s="14" t="str">
        <x:v>Voor/achter-inset 50</x:v>
      </x:c>
      <x:c r="J11" s="14" t="str">
        <x:v>Goedgekeurd</x:v>
      </x:c>
      <x:c r="K11" s="14" t="str">
        <x:v>LibraryCatalog.cs</x:v>
      </x:c>
      <x:c r="L11" s="97"/>
      <x:c r="M11" s="97"/>
    </x:row>
    <x:row r="12">
      <x:c r="A12" s="14" t="str">
        <x:v>ikea_sektion_90556071</x:v>
      </x:c>
      <x:c r="B12" s="14" t="str">
        <x:v>Stelpoot</x:v>
      </x:c>
      <x:c r="C12" s="14" t="str">
        <x:v>IKEA SEKTION poot 11 cm</x:v>
      </x:c>
      <x:c r="D12" s="14" t="str">
        <x:v>905.560.71</x:v>
      </x:c>
      <x:c r="E12" s="14" t="str"/>
      <x:c r="F12" s="14" t="str">
        <x:v>88,9–130,2</x:v>
      </x:c>
      <x:c r="G12" s="14" t="str">
        <x:v>Twee klikpennen Ø10; centraal handmatig schroefgat</x:v>
      </x:c>
      <x:c r="H12" s="14" t="str">
        <x:v>Werkbankkast bodemplaat</x:v>
      </x:c>
      <x:c r="I12" s="14" t="str">
        <x:v>4x16 door 2 mm kunststof; patroon gemeten</x:v>
      </x:c>
      <x:c r="J12" s="14" t="str">
        <x:v>Goedgekeurd</x:v>
      </x:c>
      <x:c r="K12" s="14" t="str">
        <x:v>ProductDefaults.cs</x:v>
      </x:c>
      <x:c r="L12" s="90"/>
      <x:c r="M12" s="90"/>
    </x:row>
    <x:row r="13">
      <x:c r="A13" s="14" t="str">
        <x:v>custom_sektion_plinth_clip_adapter_v2</x:v>
      </x:c>
      <x:c r="B13" s="14" t="str">
        <x:v>3D-printdeel</x:v>
      </x:c>
      <x:c r="C13" s="14" t="str">
        <x:v>SEKTION plintclipadapter V2</x:v>
      </x:c>
      <x:c r="D13" s="14" t="str"/>
      <x:c r="E13" s="14" t="str"/>
      <x:c r="F13" s="14" t="str"/>
      <x:c r="G13" s="14" t="str">
        <x:v>Montagevleugel, twee gaten, conische kopzittingen</x:v>
      </x:c>
      <x:c r="H13" s="14" t="str">
        <x:v>Voor- en zijplint</x:v>
      </x:c>
      <x:c r="I13" s="14" t="str">
        <x:v>Volledige adapter V2 fysiek goedgekeurd, inclusief tongpassing, montagevleugel en Ø8,3x4,2 mm kopzittingen.</x:v>
      </x:c>
      <x:c r="J13" s="14" t="str">
        <x:v>Goedgekeurd</x:v>
      </x:c>
      <x:c r="K13" s="14" t="str">
        <x:v>ProductDefaults.cs</x:v>
      </x:c>
      <x:c r="L13" s="97"/>
      <x:c r="M13" s="97"/>
    </x:row>
    <x:row r="14">
      <x:c r="A14" s="14" t="str">
        <x:v>lex_hsr15_2x1500_4carts</x:v>
      </x:c>
      <x:c r="B14" s="14" t="str">
        <x:v>Lineaire geleiding</x:v>
      </x:c>
      <x:c r="C14" s="14" t="str">
        <x:v>HSR15 set 2x1500 + 4 wagens</x:v>
      </x:c>
      <x:c r="D14" s="14" t="str">
        <x:v>THK HSR15R referentie</x:v>
      </x:c>
      <x:c r="E14" s="14" t="str">
        <x:v>M4</x:v>
      </x:c>
      <x:c r="F14" s="14" t="str">
        <x:v>1500</x:v>
      </x:c>
      <x:c r="G14" s="14" t="str">
        <x:v>Railsteek 60; wagenpatroon 26x26</x:v>
      </x:c>
      <x:c r="H14" s="14" t="str">
        <x:v>LEX workstation</x:v>
      </x:c>
      <x:c r="I14" s="14" t="str">
        <x:v>Systeemmaat vast; inkooptype nog vrijgeven</x:v>
      </x:c>
      <x:c r="J14" s="14" t="str">
        <x:v>Voorlopig</x:v>
      </x:c>
      <x:c r="K14" s="14" t="str">
        <x:v>ProductDefaults.cs</x:v>
      </x:c>
      <x:c r="L14" s="90"/>
      <x:c r="M14" s="90"/>
    </x:row>
    <x:row r="15">
      <x:c r="A15" s="14" t="str">
        <x:v>geming_hte2_o1_400</x:v>
      </x:c>
      <x:c r="B15" s="14" t="str">
        <x:v>Hefkolom</x:v>
      </x:c>
      <x:c r="C15" s="14" t="str">
        <x:v>GeMinG HTE2 O1 slag 400</x:v>
      </x:c>
      <x:c r="D15" s="14" t="str">
        <x:v>HTE2 O1</x:v>
      </x:c>
      <x:c r="E15" s="14" t="str"/>
      <x:c r="F15" s="14" t="str">
        <x:v>600+400 slag</x:v>
      </x:c>
      <x:c r="G15" s="14" t="str">
        <x:v>Eindplaat sleuf 50x8,5; steek 250</x:v>
      </x:c>
      <x:c r="H15" s="14" t="str">
        <x:v>LEX workstation</x:v>
      </x:c>
      <x:c r="I15" s="14" t="str">
        <x:v>Leveranciers-PDF</x:v>
      </x:c>
      <x:c r="J15" s="14" t="str">
        <x:v>Voorlopig</x:v>
      </x:c>
      <x:c r="K15" s="14" t="str">
        <x:v>ProductDefaults.cs</x:v>
      </x:c>
      <x:c r="L15" s="97"/>
      <x:c r="M15" s="97"/>
    </x:row>
    <x:row r="16">
      <x:c r="A16" s="14" t="str">
        <x:v>maunsystem_zi_1744</x:v>
      </x:c>
      <x:c r="B16" s="14" t="str">
        <x:v>Profieladapter</x:v>
      </x:c>
      <x:c r="C16" s="14" t="str">
        <x:v>Stellfusssockel 8 D80</x:v>
      </x:c>
      <x:c r="D16" s="14" t="str">
        <x:v>ZI-1744 / 1009657</x:v>
      </x:c>
      <x:c r="E16" s="14" t="str">
        <x:v>M8/M16</x:v>
      </x:c>
      <x:c r="F16" s="14" t="str"/>
      <x:c r="G16" s="14" t="str">
        <x:v>80 mm plaat, montagegat Ø8,5 steek 40</x:v>
      </x:c>
      <x:c r="H16" s="14" t="str">
        <x:v>LEX voet naar 80x80 profiel</x:v>
      </x:c>
      <x:c r="I16" s="14" t="str">
        <x:v>Inkoopcomponent</x:v>
      </x:c>
      <x:c r="J16" s="14" t="str">
        <x:v>Voorlopig</x:v>
      </x:c>
      <x:c r="K16" s="14" t="str">
        <x:v>ProductDefaults.cs</x:v>
      </x:c>
      <x:c r="L16" s="90"/>
      <x:c r="M16" s="90"/>
    </x:row>
    <x:row r="17">
      <x:c r="A17" s="15" t="str">
        <x:v>maunsystem_zi_1415_s</x:v>
      </x:c>
      <x:c r="B17" s="15" t="str">
        <x:v>Stelpoot</x:v>
      </x:c>
      <x:c r="C17" s="15" t="str">
        <x:v>Stellfuss D80 M16x130</x:v>
      </x:c>
      <x:c r="D17" s="15" t="str">
        <x:v>ZI-1415-S / 1003339</x:v>
      </x:c>
      <x:c r="E17" s="15" t="str">
        <x:v>M16</x:v>
      </x:c>
      <x:c r="F17" s="15" t="str">
        <x:v>130</x:v>
      </x:c>
      <x:c r="G17" s="15" t="str">
        <x:v>D80, draadlengte 96</x:v>
      </x:c>
      <x:c r="H17" s="15" t="str">
        <x:v>LEX workstation</x:v>
      </x:c>
      <x:c r="I17" s="15" t="str">
        <x:v>Max. 1000 kg volgens componentdata</x:v>
      </x:c>
      <x:c r="J17" s="15" t="str">
        <x:v>Voorlopig</x:v>
      </x:c>
      <x:c r="K17" s="15" t="str">
        <x:v>ProductDefaults.cs</x:v>
      </x:c>
      <x:c r="L17" s="97"/>
      <x:c r="M17" s="97"/>
    </x:row>
    <x:row r="18">
      <x:c r="A18" t="str">
        <x:v>measured_500_r2</x:v>
      </x:c>
      <x:c r="B18" t="str">
        <x:v>Ladegeleider</x:v>
      </x:c>
      <x:c r="C18" t="str">
        <x:v>Gemeten ladegeleider 500 mm R2</x:v>
      </x:c>
      <x:c r="D18"/>
      <x:c r="E18"/>
      <x:c r="F18" t="str">
        <x:v>500</x:v>
      </x:c>
      <x:c r="G18" t="str">
        <x:v>Kastgaten 34;98;226;354;418; ruwe ladegaten 27;218;451; montagecorrectie ladefront-insteek +3 mm; resulterend 30;221;454; pilotgaten Ø3</x:v>
      </x:c>
      <x:c r="H18" t="str">
        <x:v>Bovenlade werkbankkast</x:v>
      </x:c>
      <x:c r="I18" t="str">
        <x:v>R2 na fysieke test: kastrailpatroon blijft ongewijzigd; alleen ladezijdegaten krijgen productafhankelijke +3 mm insteekcorrectie.</x:v>
      </x:c>
      <x:c r="J18" t="str">
        <x:v>Proefstuk</x:v>
      </x:c>
      <x:c r="K18" t="str">
        <x:v>HardwareLibraryRepository / RailTemplate.DrawerFrontInsertionCompensationMm</x:v>
      </x:c>
      <x:c r="L18" t="n">
        <x:v>3</x:v>
      </x:c>
      <x:c r="M18" t="str">
        <x:v>Railbevestiging aan zowel kastzijde als ladezijde; ladepositie inclusief +3 mm frontinsteek</x:v>
      </x:c>
    </x:row>
    <x:row r="19">
      <x:c r="A19" t="str">
        <x:v>komplement_hinge_r2</x:v>
      </x:c>
      <x:c r="B19" t="str">
        <x:v>Scharnier</x:v>
      </x:c>
      <x:c r="C19" t="str">
        <x:v>KOMPLEMENT scharnierpassing R2</x:v>
      </x:c>
      <x:c r="D19" t="str">
        <x:v>IKEA KOMPLEMENT</x:v>
      </x:c>
      <x:c r="E19"/>
      <x:c r="F19"/>
      <x:c r="G19" t="str">
        <x:v>Potgat Ø35×13 blijft; deurschroeflijn 2 mm verder van potcentrum; montageplaatlijn kastzijde 7 mm richting kastfront (inset 37→30 mm)</x:v>
      </x:c>
      <x:c r="H19" t="str">
        <x:v>Draaideuren werkbankkast</x:v>
      </x:c>
      <x:c r="I19" t="str">
        <x:v>R2 volgens fysiek gefreesde testplaat 1; opnieuw beproeven op revisietestplaat 2.</x:v>
      </x:c>
      <x:c r="J19" t="str">
        <x:v>Proefstuk</x:v>
      </x:c>
      <x:c r="K19" t="str">
        <x:v>WorkbenchCabinetEngine</x:v>
      </x:c>
      <x:c r="L19"/>
      <x:c r="M19"/>
    </x:row>
    <x:row r="20">
      <x:c r="A20" t="str">
        <x:v>techxxl_footplate_10_80x80_m16</x:v>
      </x:c>
      <x:c r="B20" t="str">
        <x:v>Profieladapter</x:v>
      </x:c>
      <x:c r="C20" t="str">
        <x:v>Voetplaat 10 80x80 M16</x:v>
      </x:c>
      <x:c r="D20" t="str">
        <x:v>TIN 101445 / S210FP808016</x:v>
      </x:c>
      <x:c r="E20" t="str">
        <x:v>M16</x:v>
      </x:c>
      <x:c r="F20" t="str">
        <x:v>80x80x15</x:v>
      </x:c>
      <x:c r="G20" t="str">
        <x:v>Centraal M16; vier montagegaten Ø13,5 op raster 40</x:v>
      </x:c>
      <x:c r="H20" t="str">
        <x:v>M16-stelvoet naar serie-10 80x80-profiel</x:v>
      </x:c>
      <x:c r="I20" t="str">
        <x:v>TechXXL product- en maatbeeld gecontroleerd 2026-08-22</x:v>
      </x:c>
      <x:c r="J20" t="str">
        <x:v>Leveranciersdata</x:v>
      </x:c>
      <x:c r="K20" t="str">
        <x:v>https://www.techxxl.nl/part-101445.html</x:v>
      </x:c>
    </x:row>
    <x:row r="21">
      <x:c r="A21" t="str">
        <x:v>techxxl_leveling_foot_d80_m16x150</x:v>
      </x:c>
      <x:c r="B21" t="str">
        <x:v>Stelpoot</x:v>
      </x:c>
      <x:c r="C21" t="str">
        <x:v>Verstelbare voet D80 M16x150 met schroefgaten</x:v>
      </x:c>
      <x:c r="D21" t="str">
        <x:v>TIN 101219 / S210SF8016150AB</x:v>
      </x:c>
      <x:c r="E21" t="str">
        <x:v>M16</x:v>
      </x:c>
      <x:c r="F21" t="str">
        <x:v>D80x150</x:v>
      </x:c>
      <x:c r="G21" t="str">
        <x:v>Traploos hoogteverstelbaar; kantelcompensatie; bodembevestigingsgaten</x:v>
      </x:c>
      <x:c r="H21" t="str">
        <x:v>Profielconstructies met M16-voetplaat</x:v>
      </x:c>
      <x:c r="I21" t="str">
        <x:v>TechXXL productdata gecontroleerd 2026-08-22; belastbaarheid nog projectspecifiek valideren</x:v>
      </x:c>
      <x:c r="J21" t="str">
        <x:v>Leveranciersdata</x:v>
      </x:c>
      <x:c r="K21" t="str">
        <x:v>https://www.techxxl.nl/part-101219.html</x:v>
      </x:c>
    </x:row>
    <x:row r="22">
      <x:c r="A22" t="str">
        <x:v>techxxl_corner_bracket_set_10_40x80</x:v>
      </x:c>
      <x:c r="B22" t="str">
        <x:v>Profielverbinder</x:v>
      </x:c>
      <x:c r="C22" t="str">
        <x:v>Hoekbeugelset 10 40x80 met bevestigingen</x:v>
      </x:c>
      <x:c r="D22" t="str">
        <x:v>TIN 101245 / S210WS4080</x:v>
      </x:c>
      <x:c r="E22" t="str">
        <x:v>Serie 10 raster 40</x:v>
      </x:c>
      <x:c r="F22" t="str">
        <x:v>80x80x40</x:v>
      </x:c>
      <x:c r="G22" t="str">
        <x:v>90° hoekset inclusief vier bolkopschroeven en bandmoeren</x:v>
      </x:c>
      <x:c r="H22" t="str">
        <x:v>Stabiele serie-10 profielverbinding zonder profielkopbewerking</x:v>
      </x:c>
      <x:c r="I22" t="str">
        <x:v>TechXXL bevestigt compatibiliteit met alle serie-10 profielen raster 40</x:v>
      </x:c>
      <x:c r="J22" t="str">
        <x:v>Leveranciersdata</x:v>
      </x:c>
      <x:c r="K22" t="str">
        <x:v>https://www.techxxl.nl/part-101245.html</x:v>
      </x:c>
    </x:row>
    <x:row r="23">
      <x:c r="A23" t="str">
        <x:v>techxxl_end_cap_8_160x40_black</x:v>
      </x:c>
      <x:c r="B23" t="str">
        <x:v>Afdekkap</x:v>
      </x:c>
      <x:c r="C23" t="str">
        <x:v>TechXXL afdekkap 8 160x40 zwart</x:v>
      </x:c>
      <x:c r="D23" t="str">
        <x:v>TIN 100199 / S208AK16040</x:v>
      </x:c>
      <x:c r="E23" t="str">
        <x:v>Groef 8 / I-type</x:v>
      </x:c>
      <x:c r="F23" t="str">
        <x:v>160x40x12</x:v>
      </x:c>
      <x:c r="G23" t="str">
        <x:v>PA-GF zwart; sluit een open 160x40-profieleinde af</x:v>
      </x:c>
      <x:c r="H23" t="str">
        <x:v>Kopse einden van groef-8 160x40-systeemprofiel</x:v>
      </x:c>
      <x:c r="I23" t="str">
        <x:v>TechXXL noemt deze kap als passend accessoire bij profiel TIN 100559 en 100560</x:v>
      </x:c>
      <x:c r="J23" t="str">
        <x:v>Leveranciersdata</x:v>
      </x:c>
      <x:c r="K23" t="str">
        <x:v>https://www.techxxl.nl/part-100199.html</x:v>
      </x:c>
    </x:row>
    <x:row r="24">
      <x:c r="A24" t="str">
        <x:v>liangyue_ly103_12_candidate</x:v>
      </x:c>
      <x:c r="B24" t="str">
        <x:v>Kistclip</x:v>
      </x:c>
      <x:c r="C24" t="str">
        <x:v>Liangyue zware stalen veerclip LY103-12</x:v>
      </x:c>
      <x:c r="D24" t="str">
        <x:v>LY103-12</x:v>
      </x:c>
      <x:c r="E24" t="str">
        <x:v>C058-equivalent kandidaat</x:v>
      </x:c>
      <x:c r="F24" t="str">
        <x:v>Referentie 63x71x35; dikte 1,5 mm</x:v>
      </x:c>
      <x:c r="G24" t="str">
        <x:v>Twee haaks/verend gevormde armen; gekoppelde sleuven voorlopig 32x8 mm met hart 32 mm uit rand</x:v>
      </x:c>
      <x:c r="H24" t="str">
        <x:v>Demontabele shipping box / houten clipkist</x:v>
      </x:c>
      <x:c r="I24" t="str">
        <x:v>Liangyue publiceert geen maatblad. Vorm uit leveranciersfoto; schaal tijdelijk gekalibreerd tegen een C058-equivalent. Fysiek sample verplicht.</x:v>
      </x:c>
      <x:c r="J24" t="str">
        <x:v>Proefstuk</x:v>
      </x:c>
      <x:c r="K24" t="str">
        <x:v>https://liangyuepacking.en.made-in-china.com/product/EAOprPFJmGYT/China-Heavy-Duty-Spring-Clips-for-Secure-Wooden-Box-Assembly.html</x:v>
      </x:c>
    </x:row>
    <x:row r="25">
      <x:c r="A25" t="str">
        <x:v>end_cap_8_80x80_black_candidate</x:v>
      </x:c>
      <x:c r="B25" t="str">
        <x:v>Afdekkap</x:v>
      </x:c>
      <x:c r="C25" t="str">
        <x:v>TechXXL afdekkap 8 80x80 zwart</x:v>
      </x:c>
      <x:c r="D25" t="str">
        <x:v>TIN 100193 / S208AK8080</x:v>
      </x:c>
      <x:c r="E25" t="str">
        <x:v>Groef 8 / I-type</x:v>
      </x:c>
      <x:c r="F25" t="str">
        <x:v>80x80x12</x:v>
      </x:c>
      <x:c r="G25" t="str">
        <x:v>PA-GF zwart; eindafdekking voor profielkop</x:v>
      </x:c>
      <x:c r="H25" t="str">
        <x:v>Open kopse einden van groef-8 80x80-profiel</x:v>
      </x:c>
      <x:c r="I25" t="str">
        <x:v>TechXXL productdata, passing en maatbeeld gecontroleerd 2026-08-22</x:v>
      </x:c>
      <x:c r="J25" t="str">
        <x:v>Leveranciersdata</x:v>
      </x:c>
      <x:c r="K25" t="str">
        <x:v>https://www.techxxl.nl/part-100193.html</x:v>
      </x:c>
      <x:c r="L25"/>
      <x:c r="M25"/>
    </x:row>
    <x:row r="26">
      <x:c r="A26" t="str">
        <x:v>end_cap_8_80x40_black_candidate</x:v>
      </x:c>
      <x:c r="B26" t="str">
        <x:v>Afdekkap</x:v>
      </x:c>
      <x:c r="C26" t="str">
        <x:v>TechXXL afdekkap 8 80x40 zwart</x:v>
      </x:c>
      <x:c r="D26" t="str">
        <x:v>TIN 100192 / S208AK8040</x:v>
      </x:c>
      <x:c r="E26" t="str">
        <x:v>Groef 8 / I-type</x:v>
      </x:c>
      <x:c r="F26" t="str">
        <x:v>80x40x12</x:v>
      </x:c>
      <x:c r="G26" t="str">
        <x:v>PA-GF zwart; twee insteeknokken op raster 34</x:v>
      </x:c>
      <x:c r="H26" t="str">
        <x:v>Open kopse einden van groef-8 80x40-profiel</x:v>
      </x:c>
      <x:c r="I26" t="str">
        <x:v>TechXXL productdata, passing en maatbeeld gecontroleerd 2026-08-22</x:v>
      </x:c>
      <x:c r="J26" t="str">
        <x:v>Leveranciersdata</x:v>
      </x:c>
      <x:c r="K26" t="str">
        <x:v>https://www.techxxl.nl/part-100192.html</x:v>
      </x:c>
      <x:c r="L26"/>
      <x:c r="M26"/>
    </x:row>
    <x:row r="27">
      <x:c r="A27" t="str">
        <x:v>mounting_set_nut8_zi1744_candidate</x:v>
      </x:c>
      <x:c r="B27" t="str">
        <x:v>Bevestigingsset</x:v>
      </x:c>
      <x:c r="C27" t="str">
        <x:v>M8x22 + Nut 8 voor ZI-1744 — kandidaat</x:v>
      </x:c>
      <x:c r="D27"/>
      <x:c r="E27" t="str">
        <x:v>M8 / Nut 8</x:v>
      </x:c>
      <x:c r="F27" t="str">
        <x:v>Per bevestigingspositie</x:v>
      </x:c>
      <x:c r="G27" t="str">
        <x:v>M8x22 schroef en inschuifmoer</x:v>
      </x:c>
      <x:c r="H27" t="str">
        <x:v>Maunsystem ZI-1744 naar profielgroef</x:v>
      </x:c>
      <x:c r="I27" t="str">
        <x:v>Definitieve leverancier en setcode nog bevestigen</x:v>
      </x:c>
      <x:c r="J27" t="str">
        <x:v>Te controleren</x:v>
      </x:c>
      <x:c r="K27" t="str">
        <x:v>Prijs &amp; inkoop</x:v>
      </x:c>
    </x:row>
    <x:row r="28">
      <x:c r="A28" t="str">
        <x:v>techxxl_t_nut_8_m8</x:v>
      </x:c>
      <x:c r="B28" t="str">
        <x:v>T-moer</x:v>
      </x:c>
      <x:c r="C28" t="str">
        <x:v>TechXXL T-moer 8 met brug M8</x:v>
      </x:c>
      <x:c r="D28" t="str">
        <x:v>TIN 100243 / S208NSMS8</x:v>
      </x:c>
      <x:c r="E28" t="str">
        <x:v>M8 / groef 8 / I-type</x:v>
      </x:c>
      <x:c r="F28" t="str">
        <x:v>23x13,2x7,3</x:v>
      </x:c>
      <x:c r="G28" t="str">
        <x:v>Staal verzinkt; brugbreedte 8; veerkogel Ø5 houdt positie in de groef</x:v>
      </x:c>
      <x:c r="H28" t="str">
        <x:v>Los bevestigingsdeel voor groef-8 profielen; geen complete boutset</x:v>
      </x:c>
      <x:c r="I28" t="str">
        <x:v>TechXXL productdata en maatbeeld gecontroleerd 2026-08-22</x:v>
      </x:c>
      <x:c r="J28" t="str">
        <x:v>Leveranciersdata</x:v>
      </x:c>
      <x:c r="K28" t="str">
        <x:v>https://www.techxxl.nl/part-100243.html</x:v>
      </x:c>
      <x:c r="L28"/>
      <x:c r="M28"/>
    </x:row>
    <x:row r="29">
      <x:c r="A29" t="str">
        <x:v>techxxl_caster_fixed_d100</x:v>
      </x:c>
      <x:c r="B29" t="str">
        <x:v>Zwenkwiel</x:v>
      </x:c>
      <x:c r="C29" t="str">
        <x:v>TechXXL zwenkwiel vast D100</x:v>
      </x:c>
      <x:c r="D29" t="str">
        <x:v>TIN 101068 / S208BRD100</x:v>
      </x:c>
      <x:c r="E29" t="str">
        <x:v>D100 / groef 8 / I-type</x:v>
      </x:c>
      <x:c r="F29" t="str">
        <x:v>132x40</x:v>
      </x:c>
      <x:c r="G29" t="str">
        <x:v>Stalen behuizing; TPE-kogellagerwiel; achtergat 10,5; bouwhoogte 132</x:v>
      </x:c>
      <x:c r="H29" t="str">
        <x:v>Vaste rijrichting onder mobiele profielconstructies</x:v>
      </x:c>
      <x:c r="I29" t="str">
        <x:v>TechXXL productdata gecontroleerd 2026-08-22; draaglast 80 kg per wiel</x:v>
      </x:c>
      <x:c r="J29" t="str">
        <x:v>Leveranciersdata</x:v>
      </x:c>
      <x:c r="K29" t="str">
        <x:v>https://www.techxxl.nl/part-101068.html</x:v>
      </x:c>
      <x:c r="L29"/>
      <x:c r="M29"/>
    </x:row>
    <x:row r="30">
      <x:c r="A30" t="str">
        <x:v>techxxl_caster_swivel_d100</x:v>
      </x:c>
      <x:c r="B30" t="str">
        <x:v>Zwenkwiel</x:v>
      </x:c>
      <x:c r="C30" t="str">
        <x:v>TechXXL zwenkwiel D100</x:v>
      </x:c>
      <x:c r="D30" t="str">
        <x:v>TIN 101074 / S208L100</x:v>
      </x:c>
      <x:c r="E30" t="str">
        <x:v>D100 / groef 8 / I-type</x:v>
      </x:c>
      <x:c r="F30" t="str">
        <x:v>132x44</x:v>
      </x:c>
      <x:c r="G30" t="str">
        <x:v>Vrij zwenkend; stalen behuizing RAL zwart; achtergat 10,5; bouwhoogte 132</x:v>
      </x:c>
      <x:c r="H30" t="str">
        <x:v>Vrij zwenkwiel onder mobiele profielconstructies</x:v>
      </x:c>
      <x:c r="I30" t="str">
        <x:v>TechXXL productdata gecontroleerd 2026-08-22; draaglast 90 kg per wiel</x:v>
      </x:c>
      <x:c r="J30" t="str">
        <x:v>Leveranciersdata</x:v>
      </x:c>
      <x:c r="K30" t="str">
        <x:v>https://www.techxxl.nl/part-101074.html</x:v>
      </x:c>
      <x:c r="L30"/>
      <x:c r="M30"/>
    </x:row>
    <x:row r="31">
      <x:c r="A31" t="str">
        <x:v>techxxl_caster_swivel_brake_d100</x:v>
      </x:c>
      <x:c r="B31" t="str">
        <x:v>Zwenkwiel</x:v>
      </x:c>
      <x:c r="C31" t="str">
        <x:v>TechXXL zwenkwiel D100 dubbele rem</x:v>
      </x:c>
      <x:c r="D31" t="str">
        <x:v>TIN 101076 / S208LDF100</x:v>
      </x:c>
      <x:c r="E31" t="str">
        <x:v>D100 / groef 8 / I-type</x:v>
      </x:c>
      <x:c r="F31" t="str">
        <x:v>132x44</x:v>
      </x:c>
      <x:c r="G31" t="str">
        <x:v>Vrij zwenkend met dubbele vergrendeling; M10/kernboring of voetplaat</x:v>
      </x:c>
      <x:c r="H31" t="str">
        <x:v>Geremd zwenkwiel onder mobiele profielconstructies</x:v>
      </x:c>
      <x:c r="I31" t="str">
        <x:v>TechXXL productdata gecontroleerd 2026-08-22; draaglast 90 kg per wiel</x:v>
      </x:c>
      <x:c r="J31" t="str">
        <x:v>Leveranciersdata</x:v>
      </x:c>
      <x:c r="K31" t="str">
        <x:v>https://www.techxxl.nl/part-101076.html</x:v>
      </x:c>
      <x:c r="L31"/>
      <x:c r="M31"/>
    </x:row>
    <x:row r="32">
      <x:c r="A32" t="str">
        <x:v>techxxl_corner_bracket_set_8_40x40</x:v>
      </x:c>
      <x:c r="B32" t="str">
        <x:v>Profielverbinder</x:v>
      </x:c>
      <x:c r="C32" t="str">
        <x:v>TechXXL hoekbeugelset 8 40x40 ZN</x:v>
      </x:c>
      <x:c r="D32" t="str">
        <x:v>TIN 100360 / S208WS40</x:v>
      </x:c>
      <x:c r="E32" t="str">
        <x:v>Groef 8 / I-type / raster 40</x:v>
      </x:c>
      <x:c r="F32" t="str">
        <x:v>40x40x40</x:v>
      </x:c>
      <x:c r="G32" t="str">
        <x:v>Complete 90°-hoekset voor twee profielen; zinkdrukgietwerk en verzinkt staal</x:v>
      </x:c>
      <x:c r="H32" t="str">
        <x:v>40x40-profielverbindingen van materiaalwagen en toekomstige serie-8 constructies</x:v>
      </x:c>
      <x:c r="I32" t="str">
        <x:v>TechXXL productdata gecontroleerd 2026-08-22; compatibel met serie 8 raster 40</x:v>
      </x:c>
      <x:c r="J32" t="str">
        <x:v>Leveranciersdata</x:v>
      </x:c>
      <x:c r="K32" t="str">
        <x:v>https://www.techxxl.nl/part-100360.html</x:v>
      </x:c>
      <x:c r="L32"/>
      <x:c r="M32"/>
    </x:row>
    <x:row r="33">
      <x:c r="A33" t="str">
        <x:v>custom_simrig_steering_side_plate_v1</x:v>
      </x:c>
      <x:c r="B33" t="str">
        <x:v>Custom adapterplaat</x:v>
      </x:c>
      <x:c r="C33" t="str">
        <x:v>Vereenvoudigde stuurzijplaat CSL DD</x:v>
      </x:c>
      <x:c r="D33" t="str">
        <x:v>CUSTOM-SIM-STEER-V1</x:v>
      </x:c>
      <x:c r="E33" t="str">
        <x:v>CSL DD zijmontage / 40x80</x:v>
      </x:c>
      <x:c r="F33" t="str">
        <x:v>150x150x10</x:v>
      </x:c>
      <x:c r="G33" t="str">
        <x:v>Vijfhoekige S235-plaat; twee profielslots; twee M6-gaten op 70 mm verticale steek</x:v>
      </x:c>
      <x:c r="H33" t="str">
        <x:v>Verbindt stuurstaander, stuurbrug en Fanatec-zij-T-slot zonder decoratieve uitsparingen</x:v>
      </x:c>
      <x:c r="I33" t="str">
        <x:v>R1 afgeleid uit zeven referentiebeelden; M6 inschroefdiepte 10 mm volgens Fanatec; proefpassing vereist</x:v>
      </x:c>
      <x:c r="J33" t="str">
        <x:v>Referentiehypothese</x:v>
      </x:c>
      <x:c r="K33" t="str">
        <x:v>https://assets.fanatec.com/image/upload/v1743547943/downloads-prod/pdfs/CSL-DD_Hard-Mount-Planner_01.pdf</x:v>
      </x:c>
      <x:c r="L33"/>
      <x:c r="M33"/>
    </x:row>
    <x:row r="34">
      <x:c r="A34" t="str">
        <x:v>custom_simrig_upright_t_plate_v1</x:v>
      </x:c>
      <x:c r="B34" t="str">
        <x:v>Custom verbindingsplaat</x:v>
      </x:c>
      <x:c r="C34" t="str">
        <x:v>Vereenvoudigde T-plaat stuurstaander</x:v>
      </x:c>
      <x:c r="D34" t="str">
        <x:v>CUSTOM-SIM-T-V1</x:v>
      </x:c>
      <x:c r="E34" t="str">
        <x:v>40x80 groefraster</x:v>
      </x:c>
      <x:c r="F34" t="str">
        <x:v>180x150x10</x:v>
      </x:c>
      <x:c r="G34" t="str">
        <x:v>T-contour; twee sleuven voor basisrail en één sleuf voor staander</x:v>
      </x:c>
      <x:c r="H34" t="str">
        <x:v>Verstijft de stuurstaander op de basislangsligger zonder binnenhoeken</x:v>
      </x:c>
      <x:c r="I34" t="str">
        <x:v>Functie bevestigd door referentiefoto en Aluxprofiel-producttekst; exacte serieverbinding nog proefbouwen</x:v>
      </x:c>
      <x:c r="J34" t="str">
        <x:v>Referentiehypothese</x:v>
      </x:c>
      <x:c r="K34" t="str">
        <x:v>https://www.aluxprofiel.nl/sim-racing-rig-4080-zilver-csl-dd-sidemount/a4118</x:v>
      </x:c>
      <x:c r="L34"/>
      <x:c r="M34"/>
    </x:row>
    <x:row r="35">
      <x:c r="A35" t="str">
        <x:v>custom_simrig_pedal_angle_plate_v1</x:v>
      </x:c>
      <x:c r="B35" t="str">
        <x:v>Custom adapterplaat</x:v>
      </x:c>
      <x:c r="C35" t="str">
        <x:v>Vereenvoudigde pedaalhoekplaat</x:v>
      </x:c>
      <x:c r="D35" t="str">
        <x:v>CUSTOM-SIM-PEDAL-V1</x:v>
      </x:c>
      <x:c r="E35" t="str">
        <x:v>40x80 pedaalplatform</x:v>
      </x:c>
      <x:c r="F35" t="str">
        <x:v>300x170x10</x:v>
      </x:c>
      <x:c r="G35" t="str">
        <x:v>Trapeziumcontour; M8-draaipunt; instelsleuf; M8-dekbevestiging</x:v>
      </x:c>
      <x:c r="H35" t="str">
        <x:v>Verbindt en verstelt drie pedaalprofielen ten opzichte van de basis</x:v>
      </x:c>
      <x:c r="I35" t="str">
        <x:v>R1 functionele afleiding; decoratieve gewichtsuitsparingen bewust weggelaten; proefbelasting vereist</x:v>
      </x:c>
      <x:c r="J35" t="str">
        <x:v>Referentiehypothese</x:v>
      </x:c>
      <x:c r="K35" t="str">
        <x:v>config/sim-rig-4080-assembly-manifest.json</x:v>
      </x:c>
      <x:c r="L35"/>
      <x:c r="M35"/>
    </x:row>
  </x:sheetData>
  <x:mergeCells>
    <x:mergeCell ref="A1:K1"/>
    <x:mergeCell ref="A2:K2"/>
  </x:mergeCells>
  <x:conditionalFormatting sqref="J6:J100">
    <x:cfRule type="containsText" dxfId="14" priority="1" operator="containsText" text="Goedgekeurd"/>
    <x:cfRule type="containsText" dxfId="15" priority="2" operator="containsText" text="Voorlopig"/>
    <x:cfRule type="containsText" dxfId="16" priority="3" operator="containsText" text="Geblokkeerd"/>
    <x:cfRule type="containsText" dxfId="17"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d087e2fd0225418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0" hidden="0" customWidth="1"/>
    <x:col min="4" max="4" width="24" hidden="0" customWidth="1"/>
    <x:col min="5" max="5" width="30" hidden="0" customWidth="1"/>
    <x:col min="6" max="6" width="58" hidden="0" customWidth="1"/>
    <x:col min="7" max="7" width="58" hidden="0" customWidth="1"/>
    <x:col min="8" max="8" width="48" hidden="0" customWidth="1"/>
    <x:col min="9" max="9" width="54" hidden="0" customWidth="1"/>
    <x:col min="10" max="10" width="18" hidden="0" customWidth="1"/>
  </x:cols>
  <x:sheetData>
    <x:row r="1" ht="28" customHeight="1">
      <x:c r="A1" s="2" t="str">
        <x:v>Herbruikbare verbindingsrecepten</x:v>
      </x:c>
      <x:c r="B1" s="2"/>
      <x:c r="C1" s="2"/>
      <x:c r="D1" s="2"/>
      <x:c r="E1" s="2"/>
      <x:c r="F1" s="2"/>
      <x:c r="G1" s="2"/>
      <x:c r="H1" s="2"/>
      <x:c r="I1" s="2"/>
      <x:c r="J1" s="2"/>
    </x:row>
    <x:row r="2" ht="34" customHeight="1">
      <x:c r="A2" s="5" t="str">
        <x:v>Dit is de technische logica tussen materialen/componenten. Een product- of categorieregel verwijst naar een recept-ID en kan alleen expliciet parameters overschrijven.</x:v>
      </x:c>
      <x:c r="B2" s="5"/>
      <x:c r="C2" s="5"/>
      <x:c r="D2" s="5"/>
      <x:c r="E2" s="5"/>
      <x:c r="F2" s="5"/>
      <x:c r="G2" s="5"/>
      <x:c r="H2" s="5"/>
      <x:c r="I2" s="5"/>
      <x:c r="J2" s="5"/>
    </x:row>
    <x:row r="5" ht="32" customHeight="1">
      <x:c r="A5" s="10" t="str">
        <x:v>Recept-ID</x:v>
      </x:c>
      <x:c r="B5" s="11" t="str">
        <x:v>Van</x:v>
      </x:c>
      <x:c r="C5" s="11" t="str">
        <x:v>Naar</x:v>
      </x:c>
      <x:c r="D5" s="11" t="str">
        <x:v>Verbindingstype</x:v>
      </x:c>
      <x:c r="E5" s="11" t="str">
        <x:v>Standaard component</x:v>
      </x:c>
      <x:c r="F5" s="11" t="str">
        <x:v>Selectie-/maatregel</x:v>
      </x:c>
      <x:c r="G5" s="11" t="str">
        <x:v>Uitvoering/bewerkingen</x:v>
      </x:c>
      <x:c r="H5" s="11" t="str">
        <x:v>Benodigdheden</x:v>
      </x:c>
      <x:c r="I5" s="11" t="str">
        <x:v>Vrijgavecontrole</x:v>
      </x:c>
      <x:c r="J5" s="12" t="str">
        <x:v>Status</x:v>
      </x:c>
    </x:row>
    <x:row r="6">
      <x:c r="A6" s="13" t="str">
        <x:v>CON_WOOD_EDGE</x:v>
      </x:c>
      <x:c r="B6" s="13" t="str">
        <x:v>Hout/plaatachtig</x:v>
      </x:c>
      <x:c r="C6" s="13" t="str">
        <x:v>Hout/plaatachtig kopse kant</x:v>
      </x:c>
      <x:c r="D6" s="13" t="str">
        <x:v>Schroef</x:v>
      </x:c>
      <x:c r="E6" s="13" t="str">
        <x:v>WOODSCREW_4</x:v>
      </x:c>
      <x:c r="F6" s="13" t="str">
        <x:v>Lengte = doorsteekdikte + minimaal 20 mm grip; maximaal ontvangstdiepte - 2 mm</x:v>
      </x:c>
      <x:c r="G6" s="13" t="str">
        <x:v>Ø4 doorvoergat in eerste deel; ontvangend pilotgat Ø3 volgens WOODSCREW_4</x:v>
      </x:c>
      <x:c r="H6" s="13" t="str">
        <x:v>Houtschroef; passend bit; evt. souvereinfrees</x:v>
      </x:c>
      <x:c r="I6" s="13" t="str">
        <x:v>Minimaal 20 mm grip; geen doorsteek</x:v>
      </x:c>
      <x:c r="J6" s="13" t="str">
        <x:v>Goedgekeurd</x:v>
      </x:c>
    </x:row>
    <x:row r="7">
      <x:c r="A7" s="14" t="str">
        <x:v>CON_WOOD_FACE</x:v>
      </x:c>
      <x:c r="B7" s="14" t="str">
        <x:v>Component/plaat</x:v>
      </x:c>
      <x:c r="C7" s="14" t="str">
        <x:v>Houtachtig plaatvlak</x:v>
      </x:c>
      <x:c r="D7" s="14" t="str">
        <x:v>Schroef</x:v>
      </x:c>
      <x:c r="E7" s="14" t="str">
        <x:v>WOODSCREW_4</x:v>
      </x:c>
      <x:c r="F7" s="14" t="str">
        <x:v>Kies langste handelslengte met &gt;4 mm grip en &gt;=2 mm restmateriaal</x:v>
      </x:c>
      <x:c r="G7" s="14" t="str">
        <x:v>Componentgat volgens component; ontvangend pilotgat Ø3 volgens WOODSCREW_4; CNC-zijde vastleggen</x:v>
      </x:c>
      <x:c r="H7" s="14" t="str">
        <x:v>Houtschroef; passend bit</x:v>
      </x:c>
      <x:c r="I7" s="14" t="str">
        <x:v>Grip &gt;4 mm; rest &gt;=2 mm</x:v>
      </x:c>
      <x:c r="J7" s="14" t="str">
        <x:v>Goedgekeurd</x:v>
      </x:c>
    </x:row>
    <x:row r="8">
      <x:c r="A8" s="14" t="str">
        <x:v>CON_OPPOSING_SCREWS</x:v>
      </x:c>
      <x:c r="B8" s="14" t="str">
        <x:v>Component</x:v>
      </x:c>
      <x:c r="C8" s="14" t="str">
        <x:v>Plaat, beide zijden</x:v>
      </x:c>
      <x:c r="D8" s="14" t="str">
        <x:v>Twee schroeven</x:v>
      </x:c>
      <x:c r="E8" s="14" t="str">
        <x:v>Per component</x:v>
      </x:c>
      <x:c r="F8" s="14" t="str">
        <x:v>Som van beide inschroefdiepten + 2 mm vrije tipruimte &lt;= plaatdikte</x:v>
      </x:c>
      <x:c r="G8" s="14" t="str">
        <x:v>Schroefassen geometrisch op botsing controleren</x:v>
      </x:c>
      <x:c r="H8" s="14" t="str">
        <x:v>Twee bevestigers of alternatief recept</x:v>
      </x:c>
      <x:c r="I8" s="14" t="str">
        <x:v>Geen raakpunt/kruising; export blokkeert</x:v>
      </x:c>
      <x:c r="J8" s="14" t="str">
        <x:v>Goedgekeurd</x:v>
      </x:c>
    </x:row>
    <x:row r="9">
      <x:c r="A9" s="14" t="str">
        <x:v>CON_DRAWER_RAIL_WOOD</x:v>
      </x:c>
      <x:c r="B9" s="14" t="str">
        <x:v>Ladegeleider</x:v>
      </x:c>
      <x:c r="C9" s="14" t="str">
        <x:v>Houtachtig plaatvlak</x:v>
      </x:c>
      <x:c r="D9" s="14" t="str">
        <x:v>Plaatkopschroef</x:v>
      </x:c>
      <x:c r="E9" s="14" t="str">
        <x:v>measured_500</x:v>
      </x:c>
      <x:c r="F9" s="14" t="str">
        <x:v>Ø4,2x9,5 plaatkop; 0,5 mm railmateriaalweg; 9,0 mm nominale inschroefdiepte</x:v>
      </x:c>
      <x:c r="G9" s="14" t="str">
        <x:v>Pilotgat Ø3; buitenwand blind; T-tussenschot heeft rails aan beide zijden op vast AliExpress-patroon</x:v>
      </x:c>
      <x:c r="H9" s="14" t="str">
        <x:v>Rail; Ø4,2x9,5 plaatkopschroeven; passend bit</x:v>
      </x:c>
      <x:c r="I9" s="14" t="str">
        <x:v>Fysiek vrijgegeven voor exact Ø4,2x9,5 plaatkop, 0,5 mm rail en 18 mm plaat; nieuwe maat vereist nieuwe proef</x:v>
      </x:c>
      <x:c r="J9" s="14" t="str">
        <x:v>Goedgekeurd</x:v>
      </x:c>
    </x:row>
    <x:row r="10">
      <x:c r="A10" s="14" t="str">
        <x:v>CON_HINGE_WOOD</x:v>
      </x:c>
      <x:c r="B10" s="14" t="str">
        <x:v>Scharnier</x:v>
      </x:c>
      <x:c r="C10" s="14" t="str">
        <x:v>Houtachtig plaatvlak</x:v>
      </x:c>
      <x:c r="D10" s="14" t="str">
        <x:v>Componentspecifieke schroef</x:v>
      </x:c>
      <x:c r="E10" s="14" t="str"/>
      <x:c r="F10" s="14" t="str">
        <x:v>Gebruik scharnierpatroon en eigen bevestigerstandaard</x:v>
      </x:c>
      <x:c r="G10" s="14" t="str">
        <x:v>Potboring en schroefgaten volgens component</x:v>
      </x:c>
      <x:c r="H10" s="14" t="str">
        <x:v>Scharnier; schroeven; boor/frees</x:v>
      </x:c>
      <x:c r="I10" s="14" t="str">
        <x:v>Geen conflict met rand of andere bewerking</x:v>
      </x:c>
      <x:c r="J10" s="14" t="str">
        <x:v>Voorlopig</x:v>
      </x:c>
    </x:row>
    <x:row r="11">
      <x:c r="A11" s="14" t="str">
        <x:v>CON_ALU_END_THREAD</x:v>
      </x:c>
      <x:c r="B11" s="14" t="str">
        <x:v>Systeemprofiel</x:v>
      </x:c>
      <x:c r="C11" s="14" t="str">
        <x:v>Systeemprofiel kopse zijde</x:v>
      </x:c>
      <x:c r="D11" s="14" t="str">
        <x:v>Kopse draad/anker</x:v>
      </x:c>
      <x:c r="E11" s="14" t="str">
        <x:v>M8_ISO4762</x:v>
      </x:c>
      <x:c r="F11" s="14" t="str">
        <x:v>Alleen indien profielserie en kerngat dit toestaan</x:v>
      </x:c>
      <x:c r="G11" s="14" t="str">
        <x:v>Kop tappen/boren; sleuteltoegang controleren</x:v>
      </x:c>
      <x:c r="H11" s="14" t="str">
        <x:v>Bout; ring indien nodig; tapgereedschap</x:v>
      </x:c>
      <x:c r="I11" s="14" t="str">
        <x:v>Minimale draadinschroeflengte en moment nog vastleggen</x:v>
      </x:c>
      <x:c r="J11" s="14" t="str">
        <x:v>Open</x:v>
      </x:c>
    </x:row>
    <x:row r="12">
      <x:c r="A12" s="14" t="str">
        <x:v>CON_ALU_TNUT</x:v>
      </x:c>
      <x:c r="B12" s="14" t="str">
        <x:v>Component/plaat</x:v>
      </x:c>
      <x:c r="C12" s="14" t="str">
        <x:v>Aluminium systeemprofielgroef</x:v>
      </x:c>
      <x:c r="D12" s="14" t="str">
        <x:v>T-moer</x:v>
      </x:c>
      <x:c r="E12" s="14" t="str">
        <x:v>M8_ISO4762</x:v>
      </x:c>
      <x:c r="F12" s="14" t="str">
        <x:v>Boutlengte uit klempakket + T-moerinschroeflengte</x:v>
      </x:c>
      <x:c r="G12" s="14" t="str">
        <x:v>Doorvoergat/slot in component; T-moer in juiste groef</x:v>
      </x:c>
      <x:c r="H12" s="14" t="str">
        <x:v>Bout; T-moer; ring; evt. borging</x:v>
      </x:c>
      <x:c r="I12" s="14" t="str">
        <x:v>Groefserie, T-moer en draadlengte moeten matchen</x:v>
      </x:c>
      <x:c r="J12" s="14" t="str">
        <x:v>Open</x:v>
      </x:c>
    </x:row>
    <x:row r="13">
      <x:c r="A13" s="14" t="str">
        <x:v>CON_ALU_CORNER</x:v>
      </x:c>
      <x:c r="B13" s="14" t="str">
        <x:v>Systeemprofiel</x:v>
      </x:c>
      <x:c r="C13" s="14" t="str">
        <x:v>Systeemprofiel 90 graden</x:v>
      </x:c>
      <x:c r="D13" s="14" t="str">
        <x:v>Hoekbeugel</x:v>
      </x:c>
      <x:c r="E13" s="14" t="str"/>
      <x:c r="F13" s="14" t="str">
        <x:v>Standaard hoekbeugel passend bij profielserie en belasting</x:v>
      </x:c>
      <x:c r="G13" s="14" t="str">
        <x:v>Profiel vlak zagen; groefbevestiging; haaks stellen</x:v>
      </x:c>
      <x:c r="H13" s="14" t="str">
        <x:v>Hoekbeugel; T-moeren; bouten; ringen</x:v>
      </x:c>
      <x:c r="I13" s="14" t="str">
        <x:v>Belasting, toegang en uitstekende delen controleren</x:v>
      </x:c>
      <x:c r="J13" s="14" t="str">
        <x:v>Open</x:v>
      </x:c>
    </x:row>
    <x:row r="14">
      <x:c r="A14" s="14" t="str">
        <x:v>CON_SHEET_ALU</x:v>
      </x:c>
      <x:c r="B14" s="14" t="str">
        <x:v>HPL/hout/alu plaat</x:v>
      </x:c>
      <x:c r="C14" s="14" t="str">
        <x:v>Aluminium systeemprofiel</x:v>
      </x:c>
      <x:c r="D14" s="14" t="str">
        <x:v>Bout + T-moer</x:v>
      </x:c>
      <x:c r="E14" s="14" t="str"/>
      <x:c r="F14" s="14" t="str">
        <x:v>Lengte uit plaat + ring + eventuele bus + T-moer</x:v>
      </x:c>
      <x:c r="G14" s="14" t="str">
        <x:v>Plaatgat als nauw/normaal/ruim classificeren; randafstand controleren</x:v>
      </x:c>
      <x:c r="H14" s="14" t="str">
        <x:v>Bout; ring; T-moer; evt. afstandsbus</x:v>
      </x:c>
      <x:c r="I14" s="14" t="str">
        <x:v>Klempakket, draadgrip en plaatdruk controleren</x:v>
      </x:c>
      <x:c r="J14" s="14" t="str">
        <x:v>Open</x:v>
      </x:c>
    </x:row>
    <x:row r="15">
      <x:c r="A15" s="15" t="str">
        <x:v>CON_HSR15_PROFILE</x:v>
      </x:c>
      <x:c r="B15" s="15" t="str">
        <x:v>HSR15 rail</x:v>
      </x:c>
      <x:c r="C15" s="15" t="str">
        <x:v>80x40 systeemprofiel</x:v>
      </x:c>
      <x:c r="D15" s="15" t="str">
        <x:v>M4 + inschuifmoer</x:v>
      </x:c>
      <x:c r="E15" s="15" t="str">
        <x:v>lex_hsr15_2x1500_4carts</x:v>
      </x:c>
      <x:c r="F15" s="15" t="str">
        <x:v>Eén M4 per railgat; rail ondersteboven op profielgroef</x:v>
      </x:c>
      <x:c r="G15" s="15" t="str">
        <x:v>Railgaten op steek 60; profielgroef onder railhart</x:v>
      </x:c>
      <x:c r="H15" s="15" t="str">
        <x:v>M4 schroeven; inschuifmoeren; borging nader bepalen</x:v>
      </x:c>
      <x:c r="I15" s="15" t="str">
        <x:v>25 posities per rail; sleutelruimte en moment</x:v>
      </x:c>
      <x:c r="J15" s="15" t="str">
        <x:v>Voorlopig</x:v>
      </x:c>
    </x:row>
  </x:sheetData>
  <x:mergeCells>
    <x:mergeCell ref="A1:J1"/>
    <x:mergeCell ref="A2:J2"/>
  </x:mergeCells>
  <x:conditionalFormatting sqref="J6:J100">
    <x:cfRule type="containsText" dxfId="18" priority="1" operator="containsText" text="Goedgekeurd"/>
    <x:cfRule type="containsText" dxfId="19" priority="2" operator="containsText" text="Voorlopig"/>
    <x:cfRule type="containsText" dxfId="20" priority="3" operator="containsText" text="Geblokkeerd"/>
    <x:cfRule type="containsText" dxfId="21"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legacyDrawing xmlns:r="http://schemas.openxmlformats.org/officeDocument/2006/relationships" r:id="R07a2b214cdc7459c"/>
  <x:tableParts count="1">
    <x:tablePart xmlns:r="http://schemas.openxmlformats.org/officeDocument/2006/relationships" r:id="R52f7070f711b4d3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0" hidden="0" customWidth="1"/>
    <x:col min="4" max="4" width="34" hidden="0" customWidth="1"/>
    <x:col min="5" max="5" width="20" hidden="0" customWidth="1"/>
    <x:col min="6" max="6" width="28" hidden="0" customWidth="1"/>
    <x:col min="7" max="7" width="26" hidden="0" customWidth="1"/>
    <x:col min="8" max="8" width="58" hidden="0" customWidth="1"/>
    <x:col min="9" max="9" width="12" hidden="0" customWidth="1"/>
    <x:col min="10" max="10" width="18" hidden="0" customWidth="1"/>
    <x:col min="11" max="11" width="34" hidden="0" customWidth="1"/>
  </x:cols>
  <x:sheetData>
    <x:row r="1" ht="28" customHeight="1">
      <x:c r="A1" s="2" t="str">
        <x:v>Regels per productcategorie</x:v>
      </x:c>
      <x:c r="B1" s="2"/>
      <x:c r="C1" s="2"/>
      <x:c r="D1" s="2"/>
      <x:c r="E1" s="2"/>
      <x:c r="F1" s="2"/>
      <x:c r="G1" s="2"/>
      <x:c r="H1" s="2"/>
      <x:c r="I1" s="2"/>
      <x:c r="J1" s="2"/>
      <x:c r="K1" s="2"/>
    </x:row>
    <x:row r="2" ht="34" customHeight="1">
      <x:c r="A2" s="5" t="str">
        <x:v>Categorie-defaults hebben lagere prioriteit dan productregels. Gebruik prioriteit alleen binnen hetzelfde scopesegment; expliciete overerving blijft leidend.</x:v>
      </x:c>
      <x:c r="B2" s="5"/>
      <x:c r="C2" s="5"/>
      <x:c r="D2" s="5"/>
      <x:c r="E2" s="5"/>
      <x:c r="F2" s="5"/>
      <x:c r="G2" s="5"/>
      <x:c r="H2" s="5"/>
      <x:c r="I2" s="5"/>
      <x:c r="J2" s="5"/>
      <x:c r="K2" s="5"/>
    </x:row>
    <x:row r="5" ht="32" customHeight="1">
      <x:c r="A5" s="10" t="str">
        <x:v>Regel-ID</x:v>
      </x:c>
      <x:c r="B5" s="11" t="str">
        <x:v>Categorie-ID</x:v>
      </x:c>
      <x:c r="C5" s="11" t="str">
        <x:v>Domein</x:v>
      </x:c>
      <x:c r="D5" s="11" t="str">
        <x:v>Scope/toepassing</x:v>
      </x:c>
      <x:c r="E5" s="11" t="str">
        <x:v>Actie</x:v>
      </x:c>
      <x:c r="F5" s="11" t="str">
        <x:v>Recept-ID</x:v>
      </x:c>
      <x:c r="G5" s="11" t="str">
        <x:v>Component-ID</x:v>
      </x:c>
      <x:c r="H5" s="11" t="str">
        <x:v>Voorwaarde/opmerking</x:v>
      </x:c>
      <x:c r="I5" s="11" t="str">
        <x:v>Prioriteit</x:v>
      </x:c>
      <x:c r="J5" s="11" t="str">
        <x:v>Status</x:v>
      </x:c>
      <x:c r="K5" s="12" t="str">
        <x:v>Bron</x:v>
      </x:c>
    </x:row>
    <x:row r="6">
      <x:c r="A6" s="13" t="str">
        <x:v>CAT-KAST-001</x:v>
      </x:c>
      <x:c r="B6" s="13" t="str">
        <x:v>kast</x:v>
      </x:c>
      <x:c r="C6" s="13" t="str">
        <x:v>Bevestiging</x:v>
      </x:c>
      <x:c r="D6" s="13" t="str">
        <x:v>carcass hout-op-hout</x:v>
      </x:c>
      <x:c r="E6" s="13" t="str">
        <x:v>Standaard</x:v>
      </x:c>
      <x:c r="F6" s="13" t="str">
        <x:v>CON_WOOD_EDGE</x:v>
      </x:c>
      <x:c r="G6" s="13" t="str"/>
      <x:c r="H6" s="13" t="str">
        <x:v>Product mag alleen expliciet overschrijven</x:v>
      </x:c>
      <x:c r="I6" s="13" t="n">
        <x:v>100</x:v>
      </x:c>
      <x:c r="J6" s="13" t="str">
        <x:v>Goedgekeurd</x:v>
      </x:c>
      <x:c r="K6" s="13" t="str">
        <x:v>ProductFastenerStandards.cs</x:v>
      </x:c>
    </x:row>
    <x:row r="7">
      <x:c r="A7" s="14" t="str">
        <x:v>CAT-KAST-002</x:v>
      </x:c>
      <x:c r="B7" s="14" t="str">
        <x:v>kast</x:v>
      </x:c>
      <x:c r="C7" s="14" t="str">
        <x:v>Veiligheid</x:v>
      </x:c>
      <x:c r="D7" s="14" t="str">
        <x:v>component-op-plaat</x:v>
      </x:c>
      <x:c r="E7" s="14" t="str">
        <x:v>Standaard</x:v>
      </x:c>
      <x:c r="F7" s="14" t="str">
        <x:v>CON_WOOD_FACE</x:v>
      </x:c>
      <x:c r="G7" s="14" t="str"/>
      <x:c r="H7" s="14" t="str">
        <x:v>Minimaal 2 mm restmateriaal</x:v>
      </x:c>
      <x:c r="I7" s="14" t="n">
        <x:v>100</x:v>
      </x:c>
      <x:c r="J7" s="14" t="str">
        <x:v>Goedgekeurd</x:v>
      </x:c>
      <x:c r="K7" s="14" t="str">
        <x:v>ProductFastenerStandards.cs</x:v>
      </x:c>
    </x:row>
    <x:row r="8">
      <x:c r="A8" s="14" t="str">
        <x:v>CAT-KAST-003</x:v>
      </x:c>
      <x:c r="B8" s="14" t="str">
        <x:v>kast</x:v>
      </x:c>
      <x:c r="C8" s="14" t="str">
        <x:v>Veiligheid</x:v>
      </x:c>
      <x:c r="D8" s="14" t="str">
        <x:v>tegenoverliggende bevestigers</x:v>
      </x:c>
      <x:c r="E8" s="14" t="str">
        <x:v>Verplicht</x:v>
      </x:c>
      <x:c r="F8" s="14" t="str">
        <x:v>CON_OPPOSING_SCREWS</x:v>
      </x:c>
      <x:c r="G8" s="14" t="str"/>
      <x:c r="H8" s="14" t="str">
        <x:v>Geldt ook voor bijna samenvallende/kruisende assen zodra geometrie beschikbaar is</x:v>
      </x:c>
      <x:c r="I8" s="14" t="n">
        <x:v>100</x:v>
      </x:c>
      <x:c r="J8" s="14" t="str">
        <x:v>Goedgekeurd</x:v>
      </x:c>
      <x:c r="K8" s="14" t="str">
        <x:v>Bevestigingen-uitwerken.md</x:v>
      </x:c>
    </x:row>
    <x:row r="9">
      <x:c r="A9" s="14" t="str">
        <x:v>CAT-WB-001</x:v>
      </x:c>
      <x:c r="B9" s="14" t="str">
        <x:v>werkbank</x:v>
      </x:c>
      <x:c r="C9" s="14" t="str">
        <x:v>Constructie</x:v>
      </x:c>
      <x:c r="D9" s="14" t="str">
        <x:v>profielverbinding</x:v>
      </x:c>
      <x:c r="E9" s="14" t="str">
        <x:v>Selectie vereist</x:v>
      </x:c>
      <x:c r="F9" s="14" t="str"/>
      <x:c r="G9" s="14" t="str"/>
      <x:c r="H9" s="14" t="str">
        <x:v>Geen universele M8 zonder gekozen profielserie/verbinder</x:v>
      </x:c>
      <x:c r="I9" s="14" t="n">
        <x:v>90</x:v>
      </x:c>
      <x:c r="J9" s="14" t="str">
        <x:v>Voorlopig</x:v>
      </x:c>
      <x:c r="K9" s="14" t="str">
        <x:v>ProductFastenerStandards.cs</x:v>
      </x:c>
    </x:row>
    <x:row r="10">
      <x:c r="A10" s="15" t="str">
        <x:v>CAT-WB-002</x:v>
      </x:c>
      <x:c r="B10" s="15" t="str">
        <x:v>werkbank</x:v>
      </x:c>
      <x:c r="C10" s="15" t="str">
        <x:v>Vrijgave</x:v>
      </x:c>
      <x:c r="D10" s="15" t="str">
        <x:v>ontbrekende productstandaard</x:v>
      </x:c>
      <x:c r="E10" s="15" t="str">
        <x:v>Blokkeren</x:v>
      </x:c>
      <x:c r="F10" s="15" t="str"/>
      <x:c r="G10" s="15" t="str"/>
      <x:c r="H10" s="15" t="str">
        <x:v>Nieuw product zonder regel of overerving mag niet exporteren</x:v>
      </x:c>
      <x:c r="I10" s="15" t="n">
        <x:v>100</x:v>
      </x:c>
      <x:c r="J10" s="15" t="str">
        <x:v>Goedgekeurd</x:v>
      </x:c>
      <x:c r="K10" s="15" t="str">
        <x:v>ProductFastenerStandards.cs</x:v>
      </x:c>
    </x:row>
  </x:sheetData>
  <x:mergeCells>
    <x:mergeCell ref="A1:K1"/>
    <x:mergeCell ref="A2:K2"/>
  </x:mergeCells>
  <x:conditionalFormatting sqref="J6:J100">
    <x:cfRule type="containsText" dxfId="22" priority="1" operator="containsText" text="Goedgekeurd"/>
    <x:cfRule type="containsText" dxfId="23" priority="2" operator="containsText" text="Voorlopig"/>
    <x:cfRule type="containsText" dxfId="24" priority="3" operator="containsText" text="Geblokkeerd"/>
    <x:cfRule type="containsText" dxfId="25"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26f7ee997361403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32.1300048828125" hidden="0" customWidth="1"/>
    <x:col min="2" max="2" width="19.1299991607666" hidden="0" customWidth="1"/>
    <x:col min="3" max="3" width="11.130000114440918" hidden="0" customWidth="1"/>
    <x:col min="4" max="4" width="29" hidden="0" customWidth="1"/>
    <x:col min="5" max="5" width="19.6299991607666" hidden="0" customWidth="1"/>
    <x:col min="6" max="6" width="14.380000114440918" hidden="0" customWidth="1"/>
    <x:col min="7" max="7" width="19.8799991607666" hidden="0" customWidth="1"/>
    <x:col min="8" max="8" width="32.5" hidden="0" customWidth="1"/>
    <x:col min="9" max="9" width="33.5" hidden="0" customWidth="1"/>
    <x:col min="10" max="10" width="41.75" hidden="0" customWidth="1"/>
    <x:col min="11" max="11" width="53.75" hidden="0" customWidth="1"/>
    <x:col min="12" max="12" width="9.880000114440918" hidden="0" customWidth="1"/>
    <x:col min="13" max="13" width="15.130000114440918" hidden="0" customWidth="1"/>
    <x:col min="14" max="14" width="15.75" hidden="0" customWidth="1"/>
    <x:col min="15" max="15" width="37.5" hidden="0" customWidth="1"/>
  </x:cols>
  <x:sheetData>
    <x:row r="1" ht="28" customHeight="1">
      <x:c r="A1" s="403" t="str">
        <x:v>Productspecifieke regels en overrides</x:v>
      </x:c>
      <x:c r="B1" s="403"/>
      <x:c r="C1" s="403"/>
      <x:c r="D1" s="403"/>
      <x:c r="E1" s="403"/>
      <x:c r="F1" s="403"/>
      <x:c r="G1" s="403"/>
      <x:c r="H1" s="403"/>
      <x:c r="I1" s="403"/>
      <x:c r="J1" s="403"/>
      <x:c r="K1" s="403"/>
      <x:c r="L1" s="403"/>
      <x:c r="M1" s="403"/>
      <x:c r="N1" s="403"/>
      <x:c r="O1" s="403"/>
    </x:row>
    <x:row r="2" ht="34" customHeight="1">
      <x:c r="A2" s="402" t="str">
        <x:v>Iedere referentie vermeldt expliciet haar type en gebruikt stabiele interne ID's. Leveranciersvoorkeuren blijven productonafhankelijk in SuppliersTable en SupplierPreferencesTable.</x:v>
      </x:c>
      <x:c r="B2" s="402"/>
      <x:c r="C2" s="402"/>
      <x:c r="D2" s="402"/>
      <x:c r="E2" s="402"/>
      <x:c r="F2" s="402"/>
      <x:c r="G2" s="402"/>
      <x:c r="H2" s="402"/>
      <x:c r="I2" s="402"/>
      <x:c r="J2" s="402"/>
      <x:c r="K2" s="402"/>
      <x:c r="L2" s="402"/>
      <x:c r="M2" s="402"/>
      <x:c r="N2" s="402"/>
      <x:c r="O2" s="402"/>
    </x:row>
    <x:row r="3">
      <x:c r="A3" s="6"/>
      <x:c r="B3" s="6"/>
      <x:c r="C3" s="6"/>
      <x:c r="D3" s="6"/>
      <x:c r="E3" s="6"/>
      <x:c r="F3" s="6"/>
      <x:c r="G3" s="6"/>
      <x:c r="H3" s="6"/>
      <x:c r="I3" s="6"/>
      <x:c r="J3" s="6"/>
      <x:c r="K3" s="6"/>
      <x:c r="L3" s="6"/>
      <x:c r="M3" s="6"/>
      <x:c r="N3" s="6"/>
      <x:c r="O3" s="6"/>
    </x:row>
    <x:row r="4">
      <x:c r="A4" s="6"/>
      <x:c r="B4" s="6"/>
      <x:c r="C4" s="6"/>
      <x:c r="D4" s="6"/>
      <x:c r="E4" s="6"/>
      <x:c r="F4" s="6"/>
      <x:c r="G4" s="6"/>
      <x:c r="H4" s="6"/>
      <x:c r="I4" s="6"/>
      <x:c r="J4" s="6"/>
      <x:c r="K4" s="6"/>
      <x:c r="L4" s="6"/>
      <x:c r="M4" s="6"/>
      <x:c r="N4" s="6"/>
      <x:c r="O4" s="6"/>
    </x:row>
    <x:row r="5" ht="32" customHeight="1">
      <x:c r="A5" s="6" t="str">
        <x:v>Regel-ID</x:v>
      </x:c>
      <x:c r="B5" s="6" t="str">
        <x:v>Product-ID</x:v>
      </x:c>
      <x:c r="C5" s="6" t="str">
        <x:v>Domein</x:v>
      </x:c>
      <x:c r="D5" s="6" t="str">
        <x:v>Scope/toepassing</x:v>
      </x:c>
      <x:c r="E5" s="6" t="str">
        <x:v>Parametertype</x:v>
      </x:c>
      <x:c r="F5" s="6" t="str">
        <x:v>Referentietype</x:v>
      </x:c>
      <x:c r="G5" s="6" t="str">
        <x:v>Recept-ID</x:v>
      </x:c>
      <x:c r="H5" s="6" t="str">
        <x:v>Referentie-ID(s)</x:v>
      </x:c>
      <x:c r="I5" s="6" t="str">
        <x:v>Waarde</x:v>
      </x:c>
      <x:c r="J5" s="6" t="str">
        <x:v>Eenheid</x:v>
      </x:c>
      <x:c r="K5" s="6" t="str">
        <x:v>Voorwaarde/uitleg</x:v>
      </x:c>
      <x:c r="L5" s="6" t="str">
        <x:v>Prioriteit</x:v>
      </x:c>
      <x:c r="M5" s="6" t="str">
        <x:v>Status</x:v>
      </x:c>
      <x:c r="N5" s="6" t="str">
        <x:v>Blokkeert export</x:v>
      </x:c>
      <x:c r="O5" s="6" t="str">
        <x:v>Bron</x:v>
      </x:c>
    </x:row>
    <x:row r="6">
      <x:c r="A6" s="6" t="str">
        <x:v>PRD-CAB-001</x:v>
      </x:c>
      <x:c r="B6" s="6" t="str">
        <x:v>cabinet</x:v>
      </x:c>
      <x:c r="C6" s="6" t="str">
        <x:v>Bevestiging</x:v>
      </x:c>
      <x:c r="D6" s="6" t="str">
        <x:v>carcass hout-op-hout</x:v>
      </x:c>
      <x:c r="E6" s="6" t="str">
        <x:v>Recept</x:v>
      </x:c>
      <x:c r="F6" s="6" t="str">
        <x:v>Component</x:v>
      </x:c>
      <x:c r="G6" s="6" t="str">
        <x:v>CON_WOOD_EDGE</x:v>
      </x:c>
      <x:c r="H6" s="6" t="str">
        <x:v>WOODSCREW_4</x:v>
      </x:c>
      <x:c r="I6" s="6"/>
      <x:c r="J6" s="6"/>
      <x:c r="K6" s="6" t="str">
        <x:v>Erft naar vakjeskast en werkbankkast</x:v>
      </x:c>
      <x:c r="L6" s="6" t="n">
        <x:v>200</x:v>
      </x:c>
      <x:c r="M6" s="6" t="str">
        <x:v>Goedgekeurd</x:v>
      </x:c>
      <x:c r="N6" s="6" t="str">
        <x:v>Nee</x:v>
      </x:c>
      <x:c r="O6" s="6" t="str">
        <x:v>ProductFastenerStandards.cs</x:v>
      </x:c>
    </x:row>
    <x:row r="7">
      <x:c r="A7" s="6" t="str">
        <x:v>PRD-CAB-002</x:v>
      </x:c>
      <x:c r="B7" s="6" t="str">
        <x:v>cabinet</x:v>
      </x:c>
      <x:c r="C7" s="6" t="str">
        <x:v>CNC</x:v>
      </x:c>
      <x:c r="D7" s="6" t="str">
        <x:v>PanelScrew gat</x:v>
      </x:c>
      <x:c r="E7" s="6" t="str">
        <x:v>Diameter</x:v>
      </x:c>
      <x:c r="F7" s="6" t="str">
        <x:v>Component</x:v>
      </x:c>
      <x:c r="G7" s="6"/>
      <x:c r="H7" s="6" t="str">
        <x:v>WOODSCREW_4</x:v>
      </x:c>
      <x:c r="I7" s="6" t="n">
        <x:v>4</x:v>
      </x:c>
      <x:c r="J7" s="6" t="str">
        <x:v>mm</x:v>
      </x:c>
      <x:c r="K7" s="6" t="str">
        <x:v>Geen terugval naar M8</x:v>
      </x:c>
      <x:c r="L7" s="6" t="n">
        <x:v>200</x:v>
      </x:c>
      <x:c r="M7" s="6" t="str">
        <x:v>Goedgekeurd</x:v>
      </x:c>
      <x:c r="N7" s="6" t="str">
        <x:v>Ja</x:v>
      </x:c>
      <x:c r="O7" s="6" t="str">
        <x:v>ProductModelBuildService.cs</x:v>
      </x:c>
    </x:row>
    <x:row r="8">
      <x:c r="A8" s="6" t="str">
        <x:v>PRD-WBK-001</x:v>
      </x:c>
      <x:c r="B8" s="6" t="str">
        <x:v>werkbankkast</x:v>
      </x:c>
      <x:c r="C8" s="6" t="str">
        <x:v>Bevestiging</x:v>
      </x:c>
      <x:c r="D8" s="6" t="str">
        <x:v>hout-op-hout 18 mm</x:v>
      </x:c>
      <x:c r="E8" s="6" t="str">
        <x:v>Schroeflengte</x:v>
      </x:c>
      <x:c r="F8" s="6" t="str">
        <x:v>Component</x:v>
      </x:c>
      <x:c r="G8" s="6" t="str">
        <x:v>CON_WOOD_EDGE</x:v>
      </x:c>
      <x:c r="H8" s="6" t="str">
        <x:v>WOODSCREW_4</x:v>
      </x:c>
      <x:c r="I8" s="6" t="n">
        <x:v>40</x:v>
      </x:c>
      <x:c r="J8" s="6" t="str">
        <x:v>mm</x:v>
      </x:c>
      <x:c r="K8" s="6" t="str">
        <x:v>Minimaal 20 mm kopse grip</x:v>
      </x:c>
      <x:c r="L8" s="6" t="n">
        <x:v>250</x:v>
      </x:c>
      <x:c r="M8" s="6" t="str">
        <x:v>Goedgekeurd</x:v>
      </x:c>
      <x:c r="N8" s="6" t="str">
        <x:v>Ja</x:v>
      </x:c>
      <x:c r="O8" s="6" t="str">
        <x:v>PortalConfigurationFactory.cs</x:v>
      </x:c>
    </x:row>
    <x:row r="9">
      <x:c r="A9" s="6" t="str">
        <x:v>PRD-WBK-002</x:v>
      </x:c>
      <x:c r="B9" s="6" t="str">
        <x:v>werkbankkast</x:v>
      </x:c>
      <x:c r="C9" s="6" t="str">
        <x:v>Bevestiging</x:v>
      </x:c>
      <x:c r="D9" s="6" t="str">
        <x:v>voorste plintclip</x:v>
      </x:c>
      <x:c r="E9" s="6" t="str">
        <x:v>Schroeflengte</x:v>
      </x:c>
      <x:c r="F9" s="6" t="str">
        <x:v>Component</x:v>
      </x:c>
      <x:c r="G9" s="6" t="str">
        <x:v>CON_WOOD_FACE</x:v>
      </x:c>
      <x:c r="H9" s="6" t="str">
        <x:v>WOODSCREW_4</x:v>
      </x:c>
      <x:c r="I9" s="6" t="n">
        <x:v>16</x:v>
      </x:c>
      <x:c r="J9" s="6" t="str">
        <x:v>mm</x:v>
      </x:c>
      <x:c r="K9" s="6" t="str">
        <x:v>3 mm stack, 13 mm grip, 5 mm rest</x:v>
      </x:c>
      <x:c r="L9" s="6" t="n">
        <x:v>250</x:v>
      </x:c>
      <x:c r="M9" s="6" t="str">
        <x:v>Goedgekeurd</x:v>
      </x:c>
      <x:c r="N9" s="6" t="str">
        <x:v>Ja</x:v>
      </x:c>
      <x:c r="O9" s="6" t="str">
        <x:v>PortalConfigurationFactory.cs</x:v>
      </x:c>
    </x:row>
    <x:row r="10">
      <x:c r="A10" s="6" t="str">
        <x:v>PRD-WBK-003</x:v>
      </x:c>
      <x:c r="B10" s="6" t="str">
        <x:v>werkbankkast</x:v>
      </x:c>
      <x:c r="C10" s="6" t="str">
        <x:v>Bevestiging</x:v>
      </x:c>
      <x:c r="D10" s="6" t="str">
        <x:v>zijplintclip verlengd</x:v>
      </x:c>
      <x:c r="E10" s="6" t="str">
        <x:v>Schroeflengte</x:v>
      </x:c>
      <x:c r="F10" s="6" t="str">
        <x:v>Component</x:v>
      </x:c>
      <x:c r="G10" s="6" t="str">
        <x:v>CON_WOOD_FACE</x:v>
      </x:c>
      <x:c r="H10" s="6" t="str">
        <x:v>WOODSCREW_4</x:v>
      </x:c>
      <x:c r="I10" s="6" t="n">
        <x:v>35</x:v>
      </x:c>
      <x:c r="J10" s="6" t="str">
        <x:v>mm</x:v>
      </x:c>
      <x:c r="K10" s="6" t="str">
        <x:v>22,6 mm stack, 12,4 mm grip, 5,6 mm rest</x:v>
      </x:c>
      <x:c r="L10" s="6" t="n">
        <x:v>250</x:v>
      </x:c>
      <x:c r="M10" s="6" t="str">
        <x:v>Goedgekeurd</x:v>
      </x:c>
      <x:c r="N10" s="6" t="str">
        <x:v>Ja</x:v>
      </x:c>
      <x:c r="O10" s="6" t="str">
        <x:v>PortalConfigurationFactory.cs</x:v>
      </x:c>
    </x:row>
    <x:row r="11">
      <x:c r="A11" s="6" t="str">
        <x:v>PRD-WBK-004</x:v>
      </x:c>
      <x:c r="B11" s="6" t="str">
        <x:v>werkbankkast</x:v>
      </x:c>
      <x:c r="C11" s="6" t="str">
        <x:v>Bevestiging</x:v>
      </x:c>
      <x:c r="D11" s="6" t="str">
        <x:v>SEKTION voet</x:v>
      </x:c>
      <x:c r="E11" s="6" t="str">
        <x:v>Schroeflengte</x:v>
      </x:c>
      <x:c r="F11" s="6" t="str">
        <x:v>Component</x:v>
      </x:c>
      <x:c r="G11" s="6" t="str">
        <x:v>CON_WOOD_FACE</x:v>
      </x:c>
      <x:c r="H11" s="6" t="str">
        <x:v>WOODSCREW_4</x:v>
      </x:c>
      <x:c r="I11" s="6" t="n">
        <x:v>16</x:v>
      </x:c>
      <x:c r="J11" s="6" t="str">
        <x:v>mm</x:v>
      </x:c>
      <x:c r="K11" s="6" t="str">
        <x:v>2 mm kunststof, 14 mm grip, 4 mm rest; geen CNC-pilot</x:v>
      </x:c>
      <x:c r="L11" s="6" t="n">
        <x:v>250</x:v>
      </x:c>
      <x:c r="M11" s="6" t="str">
        <x:v>Goedgekeurd</x:v>
      </x:c>
      <x:c r="N11" s="6" t="str">
        <x:v>Ja</x:v>
      </x:c>
      <x:c r="O11" s="6" t="str">
        <x:v>PortalConfigurationFactory.cs</x:v>
      </x:c>
    </x:row>
    <x:row r="12">
      <x:c r="A12" s="6" t="str">
        <x:v>PRD-WBK-005</x:v>
      </x:c>
      <x:c r="B12" s="6" t="str">
        <x:v>werkbankkast</x:v>
      </x:c>
      <x:c r="C12" s="6" t="str">
        <x:v>Veiligheid</x:v>
      </x:c>
      <x:c r="D12" s="6" t="str">
        <x:v>rails aan beide zijden tussenschot</x:v>
      </x:c>
      <x:c r="E12" s="6" t="str">
        <x:v>Botsingscontrole</x:v>
      </x:c>
      <x:c r="F12" s="6" t="str">
        <x:v>Component</x:v>
      </x:c>
      <x:c r="G12" s="6" t="str">
        <x:v>CON_OPPOSING_SCREWS</x:v>
      </x:c>
      <x:c r="H12" s="6" t="str">
        <x:v>measured_500</x:v>
      </x:c>
      <x:c r="I12" s="6" t="n">
        <x:v>0</x:v>
      </x:c>
      <x:c r="J12" s="6" t="str">
        <x:v>mm nominale tipruimte</x:v>
      </x:c>
      <x:c r="K12" s="6" t="str">
        <x:v>Fysiek getest zonder botsing: Ø4,2x9,5 plaatkop door 0,5 mm rail, beide zijden, exact 18 mm plaat en bestaand AliExpress-gatpatroon; vrijgave vervalt automatisch bij maatwijziging</x:v>
      </x:c>
      <x:c r="L12" s="6" t="n">
        <x:v>300</x:v>
      </x:c>
      <x:c r="M12" s="6" t="str">
        <x:v>Goedgekeurd</x:v>
      </x:c>
      <x:c r="N12" s="6" t="str">
        <x:v>Ja</x:v>
      </x:c>
      <x:c r="O12" s="6" t="str">
        <x:v>WorkbenchCabinetAuditService.cs</x:v>
      </x:c>
    </x:row>
    <x:row r="13">
      <x:c r="A13" s="6" t="str">
        <x:v>PRD-WBK-006</x:v>
      </x:c>
      <x:c r="B13" s="6" t="str">
        <x:v>werkbankkast</x:v>
      </x:c>
      <x:c r="C13" s="6" t="str">
        <x:v>CNC</x:v>
      </x:c>
      <x:c r="D13" s="6" t="str">
        <x:v>souvereinen en kanten</x:v>
      </x:c>
      <x:c r="E13" s="6" t="str">
        <x:v>Portaloptie</x:v>
      </x:c>
      <x:c r="F13" s="6" t="str">
        <x:v>Gereedschap</x:v>
      </x:c>
      <x:c r="G13" s="6"/>
      <x:c r="H13" s="6" t="str">
        <x:v>vbit_90deg_8mm_shank_6_35</x:v>
      </x:c>
      <x:c r="I13" s="6" t="str">
        <x:v>beide uit</x:v>
      </x:c>
      <x:c r="J13" s="6" t="str">
        <x:v>2× boolean</x:v>
      </x:c>
      <x:c r="K13" s="6" t="str">
        <x:v>Twee onafhankelijke portalopties: hout-op-hout gaten verzinken en volledige buitencontour afschuinen; elk afzonderlijk toepasbaar in G-code</x:v>
      </x:c>
      <x:c r="L13" s="6" t="n">
        <x:v>220</x:v>
      </x:c>
      <x:c r="M13" s="6" t="str">
        <x:v>Voorlopig</x:v>
      </x:c>
      <x:c r="N13" s="6" t="str">
        <x:v>Ja</x:v>
      </x:c>
      <x:c r="O13" s="6" t="str">
        <x:v>ProductionOutputService.cs</x:v>
      </x:c>
    </x:row>
    <x:row r="14">
      <x:c r="A14" s="6" t="str">
        <x:v>PRD-WT-001</x:v>
      </x:c>
      <x:c r="B14" s="6" t="str">
        <x:v>werktafel</x:v>
      </x:c>
      <x:c r="C14" s="6" t="str">
        <x:v>Bevestiging</x:v>
      </x:c>
      <x:c r="D14" s="6" t="str">
        <x:v>aluminium constructie</x:v>
      </x:c>
      <x:c r="E14" s="6" t="str">
        <x:v>Voorlopige boutfamilie</x:v>
      </x:c>
      <x:c r="F14" s="6" t="str">
        <x:v>Component</x:v>
      </x:c>
      <x:c r="G14" s="6"/>
      <x:c r="H14" s="6" t="str">
        <x:v>M8_ISO4762</x:v>
      </x:c>
      <x:c r="I14" s="6" t="n">
        <x:v>8</x:v>
      </x:c>
      <x:c r="J14" s="6" t="str">
        <x:v>mm</x:v>
      </x:c>
      <x:c r="K14" s="6" t="str">
        <x:v>Verdiepen per profielverbinder</x:v>
      </x:c>
      <x:c r="L14" s="6" t="n">
        <x:v>180</x:v>
      </x:c>
      <x:c r="M14" s="6" t="str">
        <x:v>Voorlopig</x:v>
      </x:c>
      <x:c r="N14" s="6" t="str">
        <x:v>Nee</x:v>
      </x:c>
      <x:c r="O14" s="6" t="str">
        <x:v>ProductFastenerStandards.cs</x:v>
      </x:c>
    </x:row>
    <x:row r="15">
      <x:c r="A15" s="6" t="str">
        <x:v>PRD-LEX-001</x:v>
      </x:c>
      <x:c r="B15" s="6" t="str">
        <x:v>werktafel_lex</x:v>
      </x:c>
      <x:c r="C15" s="6" t="str">
        <x:v>Materiaal</x:v>
      </x:c>
      <x:c r="D15" s="6" t="str">
        <x:v>bewegend/vast frame</x:v>
      </x:c>
      <x:c r="E15" s="6" t="str">
        <x:v>Profielkeuze</x:v>
      </x:c>
      <x:c r="F15" s="6" t="str">
        <x:v>Materiaal</x:v>
      </x:c>
      <x:c r="G15" s="6"/>
      <x:c r="H15" s="6" t="str">
        <x:v>alu_system_80x80;alu_system_80x40</x:v>
      </x:c>
      <x:c r="I15" s="6"/>
      <x:c r="J15" s="6"/>
      <x:c r="K15" s="6" t="str">
        <x:v>Erft basis werktafel maar overschrijft profieltypen</x:v>
      </x:c>
      <x:c r="L15" s="6" t="n">
        <x:v>220</x:v>
      </x:c>
      <x:c r="M15" s="6" t="str">
        <x:v>Voorlopig</x:v>
      </x:c>
      <x:c r="N15" s="6" t="str">
        <x:v>Nee</x:v>
      </x:c>
      <x:c r="O15" s="6" t="str">
        <x:v>PortalConfigurationFactory.cs</x:v>
      </x:c>
    </x:row>
    <x:row r="16">
      <x:c r="A16" s="6" t="str">
        <x:v>PRD-LEX-002</x:v>
      </x:c>
      <x:c r="B16" s="6" t="str">
        <x:v>werktafel_lex</x:v>
      </x:c>
      <x:c r="C16" s="6" t="str">
        <x:v>Verbinding</x:v>
      </x:c>
      <x:c r="D16" s="6" t="str">
        <x:v>HSR15 naar raildrager</x:v>
      </x:c>
      <x:c r="E16" s="6" t="str">
        <x:v>Recept</x:v>
      </x:c>
      <x:c r="F16" s="6" t="str">
        <x:v>Component</x:v>
      </x:c>
      <x:c r="G16" s="6" t="str">
        <x:v>CON_HSR15_PROFILE</x:v>
      </x:c>
      <x:c r="H16" s="6" t="str">
        <x:v>lex_hsr15_2x1500_4carts</x:v>
      </x:c>
      <x:c r="I16" s="6"/>
      <x:c r="J16" s="6"/>
      <x:c r="K16" s="6" t="str">
        <x:v>M4-inschuifmoeren; twee rails, 25 posities elk</x:v>
      </x:c>
      <x:c r="L16" s="6" t="n">
        <x:v>240</x:v>
      </x:c>
      <x:c r="M16" s="6" t="str">
        <x:v>Voorlopig</x:v>
      </x:c>
      <x:c r="N16" s="6" t="str">
        <x:v>Ja</x:v>
      </x:c>
      <x:c r="O16" s="6" t="str">
        <x:v>LexWorkbenchEngine.cs</x:v>
      </x:c>
    </x:row>
    <x:row r="17">
      <x:c r="A17" s="6" t="str">
        <x:v>PRD-LEXR-001</x:v>
      </x:c>
      <x:c r="B17" s="6" t="str">
        <x:v>werktafel_lex_revolution</x:v>
      </x:c>
      <x:c r="C17" s="6" t="str">
        <x:v>Overerving</x:v>
      </x:c>
      <x:c r="D17" s="6" t="str">
        <x:v>alle ongewijzigde regels</x:v>
      </x:c>
      <x:c r="E17" s="6" t="str">
        <x:v>Erf</x:v>
      </x:c>
      <x:c r="F17" s="6" t="str">
        <x:v>Product</x:v>
      </x:c>
      <x:c r="G17" s="6"/>
      <x:c r="H17" s="6"/>
      <x:c r="I17" s="6" t="str">
        <x:v>werktafel_lex</x:v>
      </x:c>
      <x:c r="J17" s="6" t="str">
        <x:v>Product-ID</x:v>
      </x:c>
      <x:c r="K17" s="6" t="str">
        <x:v>Nieuwe ontwikkeling alleen als expliciete override</x:v>
      </x:c>
      <x:c r="L17" s="6" t="n">
        <x:v>200</x:v>
      </x:c>
      <x:c r="M17" s="6" t="str">
        <x:v>Goedgekeurd</x:v>
      </x:c>
      <x:c r="N17" s="6" t="str">
        <x:v>Nee</x:v>
      </x:c>
      <x:c r="O17" s="6" t="str">
        <x:v>ProductFastenerStandards.cs</x:v>
      </x:c>
    </x:row>
    <x:row r="18">
      <x:c r="A18" s="6" t="str">
        <x:v>PRD-WBK-007</x:v>
      </x:c>
      <x:c r="B18" s="6" t="str">
        <x:v>werkbankkast</x:v>
      </x:c>
      <x:c r="C18" s="6" t="str">
        <x:v>Beslag</x:v>
      </x:c>
      <x:c r="D18" s="6" t="str">
        <x:v>KOMPLEMENT scharnier deurzijde</x:v>
      </x:c>
      <x:c r="E18" s="6" t="str">
        <x:v>Positiecorrectie</x:v>
      </x:c>
      <x:c r="F18" s="6" t="str">
        <x:v>Component</x:v>
      </x:c>
      <x:c r="G18" s="6"/>
      <x:c r="H18" s="6" t="str">
        <x:v>komplement_hinge_r2</x:v>
      </x:c>
      <x:c r="I18" s="6" t="n">
        <x:v>2</x:v>
      </x:c>
      <x:c r="J18" s="6" t="str">
        <x:v>mm</x:v>
      </x:c>
      <x:c r="K18" s="6" t="str">
        <x:v>Kleine schroefgaten 2 mm verder van het Ø35-potgat; spiegeling voor rechter deur</x:v>
      </x:c>
      <x:c r="L18" s="6" t="n">
        <x:v>260</x:v>
      </x:c>
      <x:c r="M18" s="6" t="str">
        <x:v>Proefstuk</x:v>
      </x:c>
      <x:c r="N18" s="6" t="str">
        <x:v>Ja</x:v>
      </x:c>
      <x:c r="O18" s="6" t="str">
        <x:v>WorkbenchCabinetEngine.cs</x:v>
      </x:c>
    </x:row>
    <x:row r="19">
      <x:c r="A19" s="6" t="str">
        <x:v>PRD-WBK-008</x:v>
      </x:c>
      <x:c r="B19" s="6" t="str">
        <x:v>werkbankkast</x:v>
      </x:c>
      <x:c r="C19" s="6" t="str">
        <x:v>Beslag</x:v>
      </x:c>
      <x:c r="D19" s="6" t="str">
        <x:v>KOMPLEMENT montageplaat kastzijde</x:v>
      </x:c>
      <x:c r="E19" s="6" t="str">
        <x:v>Frontinset</x:v>
      </x:c>
      <x:c r="F19" s="6" t="str">
        <x:v>Component</x:v>
      </x:c>
      <x:c r="G19" s="6"/>
      <x:c r="H19" s="6" t="str">
        <x:v>komplement_hinge_r2</x:v>
      </x:c>
      <x:c r="I19" s="6" t="n">
        <x:v>30</x:v>
      </x:c>
      <x:c r="J19" s="6" t="str">
        <x:v>mm</x:v>
      </x:c>
      <x:c r="K19" s="6" t="str">
        <x:v>Montageplaatgaten 7 mm richting kastfront ten opzichte van oude inset 37 mm</x:v>
      </x:c>
      <x:c r="L19" s="6" t="n">
        <x:v>260</x:v>
      </x:c>
      <x:c r="M19" s="6" t="str">
        <x:v>Proefstuk</x:v>
      </x:c>
      <x:c r="N19" s="6" t="str">
        <x:v>Ja</x:v>
      </x:c>
      <x:c r="O19" s="6" t="str">
        <x:v>WorkbenchCabinetEngine.cs</x:v>
      </x:c>
    </x:row>
    <x:row r="20">
      <x:c r="A20" s="6" t="str">
        <x:v>PRD-WBK-009</x:v>
      </x:c>
      <x:c r="B20" s="6" t="str">
        <x:v>werkbankkast</x:v>
      </x:c>
      <x:c r="C20" s="6" t="str">
        <x:v>Beslag</x:v>
      </x:c>
      <x:c r="D20" s="6" t="str">
        <x:v>laderail ladezijde</x:v>
      </x:c>
      <x:c r="E20" s="6" t="str">
        <x:v>Frontinsteekcorrectie</x:v>
      </x:c>
      <x:c r="F20" s="6" t="str">
        <x:v>Component</x:v>
      </x:c>
      <x:c r="G20" s="6"/>
      <x:c r="H20" s="6" t="str">
        <x:v>measured_500_r2</x:v>
      </x:c>
      <x:c r="I20" s="6" t="n">
        <x:v>3</x:v>
      </x:c>
      <x:c r="J20" s="6" t="str">
        <x:v>mm</x:v>
      </x:c>
      <x:c r="K20" s="6" t="str">
        <x:v>Ruwe railmaten 27/218/451 worden op de ladezijde 30/221/454; kastrailgaten blijven gelijk</x:v>
      </x:c>
      <x:c r="L20" s="6" t="n">
        <x:v>270</x:v>
      </x:c>
      <x:c r="M20" s="6" t="str">
        <x:v>Proefstuk</x:v>
      </x:c>
      <x:c r="N20" s="6" t="str">
        <x:v>Ja</x:v>
      </x:c>
      <x:c r="O20" s="6" t="str">
        <x:v>RailTemplate.DrawerFrontInsertionCompensationMm</x:v>
      </x:c>
    </x:row>
    <x:row r="21">
      <x:c r="A21" s="6" t="str">
        <x:v>PRD-WBK-010</x:v>
      </x:c>
      <x:c r="B21" s="6" t="str">
        <x:v>werkbankkast</x:v>
      </x:c>
      <x:c r="C21" s="6" t="str">
        <x:v>CNC</x:v>
      </x:c>
      <x:c r="D21" s="6" t="str">
        <x:v>ladefront zij-rabatten</x:v>
      </x:c>
      <x:c r="E21" s="6" t="str">
        <x:v>Verlenging</x:v>
      </x:c>
      <x:c r="F21" s="6" t="str">
        <x:v>Geen</x:v>
      </x:c>
      <x:c r="G21" s="6"/>
      <x:c r="H21" s="6"/>
      <x:c r="I21" s="6" t="n">
        <x:v>3</x:v>
      </x:c>
      <x:c r="J21" s="6" t="str">
        <x:v>mm</x:v>
      </x:c>
      <x:c r="K21" s="6" t="str">
        <x:v>Beide afgebroken verticale rabatten 3 mm verder richting bovenkant ladefront</x:v>
      </x:c>
      <x:c r="L21" s="6" t="n">
        <x:v>250</x:v>
      </x:c>
      <x:c r="M21" s="6" t="str">
        <x:v>Proefstuk</x:v>
      </x:c>
      <x:c r="N21" s="6" t="str">
        <x:v>Ja</x:v>
      </x:c>
      <x:c r="O21" s="6" t="str">
        <x:v>WorkbenchCabinetEngine.cs</x:v>
      </x:c>
    </x:row>
    <x:row r="22">
      <x:c r="A22" s="6" t="str">
        <x:v>PRD-WBK-011</x:v>
      </x:c>
      <x:c r="B22" s="6" t="str">
        <x:v>werkbankkast</x:v>
      </x:c>
      <x:c r="C22" s="6" t="str">
        <x:v>CNC</x:v>
      </x:c>
      <x:c r="D22" s="6" t="str">
        <x:v>uitgefreesde ladehandgreep</x:v>
      </x:c>
      <x:c r="E22" s="6" t="str">
        <x:v>Vacuümstrategie</x:v>
      </x:c>
      <x:c r="F22" s="6" t="str">
        <x:v>Gereedschap</x:v>
      </x:c>
      <x:c r="G22" s="6"/>
      <x:c r="H22" s="6" t="str">
        <x:v>endmill_6mm</x:v>
      </x:c>
      <x:c r="I22" s="6" t="str">
        <x:v>2;8;2;70</x:v>
      </x:c>
      <x:c r="J22" s="6" t="str">
        <x:v>mm skin;mm tabbreedte;mm tabhoogte;mm max steek</x:v>
      </x:c>
      <x:c r="K22" s="6" t="str">
        <x:v>Capsule tot 2 mm restmateriaal uitpocketen; daarna binnencontour tot doorsteekdiepte met verdeelde tabs</x:v>
      </x:c>
      <x:c r="L22" s="6" t="n">
        <x:v>280</x:v>
      </x:c>
      <x:c r="M22" s="6" t="str">
        <x:v>Proefstuk</x:v>
      </x:c>
      <x:c r="N22" s="6" t="str">
        <x:v>Ja</x:v>
      </x:c>
      <x:c r="O22" s="6" t="str">
        <x:v>NestedMach3GCodeGenerator.cs</x:v>
      </x:c>
    </x:row>
    <x:row r="23">
      <x:c r="A23" s="6" t="str">
        <x:v>PRD-RBC-001</x:v>
      </x:c>
      <x:c r="B23" s="6" t="str">
        <x:v>robotcel</x:v>
      </x:c>
      <x:c r="C23" s="6" t="str">
        <x:v>Materiaal</x:v>
      </x:c>
      <x:c r="D23" s="6" t="str">
        <x:v>staande framekolommen</x:v>
      </x:c>
      <x:c r="E23" s="6" t="str">
        <x:v>Profielkeuze</x:v>
      </x:c>
      <x:c r="F23" s="6" t="str">
        <x:v>Materiaal</x:v>
      </x:c>
      <x:c r="G23" s="6"/>
      <x:c r="H23" s="6" t="str">
        <x:v>alu_system_80x80</x:v>
      </x:c>
      <x:c r="I23" s="6"/>
      <x:c r="J23" s="6"/>
      <x:c r="K23" s="6" t="str">
        <x:v>Vier staanders op 80x80/M16-voetplaten</x:v>
      </x:c>
      <x:c r="L23" s="6" t="n">
        <x:v>260</x:v>
      </x:c>
      <x:c r="M23" s="6" t="str">
        <x:v>Leveranciersdata</x:v>
      </x:c>
      <x:c r="N23" s="6" t="str">
        <x:v>Ja</x:v>
      </x:c>
      <x:c r="O23" s="6" t="str">
        <x:v>RobotCellEngine.cs</x:v>
      </x:c>
    </x:row>
    <x:row r="24">
      <x:c r="A24" s="6" t="str">
        <x:v>PRD-RBC-002</x:v>
      </x:c>
      <x:c r="B24" s="6" t="str">
        <x:v>robotcel</x:v>
      </x:c>
      <x:c r="C24" s="6" t="str">
        <x:v>Materiaal</x:v>
      </x:c>
      <x:c r="D24" s="6" t="str">
        <x:v>liggers en dwarsliggers onder blad</x:v>
      </x:c>
      <x:c r="E24" s="6" t="str">
        <x:v>Profielkeuze</x:v>
      </x:c>
      <x:c r="F24" s="6" t="str">
        <x:v>Materiaal</x:v>
      </x:c>
      <x:c r="G24" s="6"/>
      <x:c r="H24" s="6" t="str">
        <x:v>alu_system_80x40</x:v>
      </x:c>
      <x:c r="I24" s="6"/>
      <x:c r="J24" s="6"/>
      <x:c r="K24" s="6" t="str">
        <x:v>40x80 rondom en gelijkmatig verdeelde dwarsliggers</x:v>
      </x:c>
      <x:c r="L24" s="6" t="n">
        <x:v>260</x:v>
      </x:c>
      <x:c r="M24" s="6" t="str">
        <x:v>Leveranciersdata</x:v>
      </x:c>
      <x:c r="N24" s="6" t="str">
        <x:v>Ja</x:v>
      </x:c>
      <x:c r="O24" s="6" t="str">
        <x:v>RobotCellEngine.cs</x:v>
      </x:c>
    </x:row>
    <x:row r="25">
      <x:c r="A25" s="6" t="str">
        <x:v>PRD-RBC-003</x:v>
      </x:c>
      <x:c r="B25" s="6" t="str">
        <x:v>robotcel</x:v>
      </x:c>
      <x:c r="C25" s="6" t="str">
        <x:v>Materiaal</x:v>
      </x:c>
      <x:c r="D25" s="6" t="str">
        <x:v>achterrail boven blad</x:v>
      </x:c>
      <x:c r="E25" s="6" t="str">
        <x:v>Profielkeuze</x:v>
      </x:c>
      <x:c r="F25" s="6" t="str">
        <x:v>Materiaal</x:v>
      </x:c>
      <x:c r="G25" s="6"/>
      <x:c r="H25" s="6" t="str">
        <x:v>alu_system_160x40</x:v>
      </x:c>
      <x:c r="I25" s="6" t="n">
        <x:v>1</x:v>
      </x:c>
      <x:c r="J25" s="6" t="str">
        <x:v>st</x:v>
      </x:c>
      <x:c r="K25" s="6" t="str">
        <x:v>Doorlopend horizontaal groef-8/I-type profiel; serie is gekoppeld aan passende eindkap TIN 100199</x:v>
      </x:c>
      <x:c r="L25" s="6" t="n">
        <x:v>260</x:v>
      </x:c>
      <x:c r="M25" s="6" t="str">
        <x:v>Leveranciersdata</x:v>
      </x:c>
      <x:c r="N25" s="6" t="str">
        <x:v>Ja</x:v>
      </x:c>
      <x:c r="O25" s="6" t="str">
        <x:v>RobotCellEngine.cs; TechXXL TIN 100559</x:v>
      </x:c>
    </x:row>
    <x:row r="26">
      <x:c r="A26" s="6" t="str">
        <x:v>PRD-RBC-004</x:v>
      </x:c>
      <x:c r="B26" s="6" t="str">
        <x:v>robotcel</x:v>
      </x:c>
      <x:c r="C26" s="6" t="str">
        <x:v>Beslag</x:v>
      </x:c>
      <x:c r="D26" s="6" t="str">
        <x:v>stelvoet en adapter</x:v>
      </x:c>
      <x:c r="E26" s="6" t="str">
        <x:v>Componentkeuze</x:v>
      </x:c>
      <x:c r="F26" s="6" t="str">
        <x:v>Component</x:v>
      </x:c>
      <x:c r="G26" s="6"/>
      <x:c r="H26" s="6" t="str">
        <x:v>techxxl_leveling_foot_d80_m16x150;techxxl_footplate_10_80x80_m16</x:v>
      </x:c>
      <x:c r="I26" s="6" t="n">
        <x:v>4</x:v>
      </x:c>
      <x:c r="J26" s="6" t="str">
        <x:v>set</x:v>
      </x:c>
      <x:c r="K26" s="6" t="str">
        <x:v>M16-stelvoet onder iedere 80x80-staander</x:v>
      </x:c>
      <x:c r="L26" s="6" t="n">
        <x:v>260</x:v>
      </x:c>
      <x:c r="M26" s="6" t="str">
        <x:v>Leveranciersdata</x:v>
      </x:c>
      <x:c r="N26" s="6" t="str">
        <x:v>Ja</x:v>
      </x:c>
      <x:c r="O26" s="6" t="str">
        <x:v>RobotCellEngine.cs</x:v>
      </x:c>
    </x:row>
    <x:row r="27">
      <x:c r="A27" s="6" t="str">
        <x:v>PRD-RBC-005</x:v>
      </x:c>
      <x:c r="B27" s="6" t="str">
        <x:v>robotcel</x:v>
      </x:c>
      <x:c r="C27" s="6" t="str">
        <x:v>Verbinding</x:v>
      </x:c>
      <x:c r="D27" s="6" t="str">
        <x:v>40x80 frameverbindingen</x:v>
      </x:c>
      <x:c r="E27" s="6" t="str">
        <x:v>Componentkeuze</x:v>
      </x:c>
      <x:c r="F27" s="6" t="str">
        <x:v>Component</x:v>
      </x:c>
      <x:c r="G27" s="6"/>
      <x:c r="H27" s="6" t="str">
        <x:v>techxxl_corner_bracket_set_10_40x80</x:v>
      </x:c>
      <x:c r="I27" s="6"/>
      <x:c r="J27" s="6"/>
      <x:c r="K27" s="6" t="str">
        <x:v>Aantal volgt uit framehoeken en dwarsliggers</x:v>
      </x:c>
      <x:c r="L27" s="6" t="n">
        <x:v>260</x:v>
      </x:c>
      <x:c r="M27" s="6" t="str">
        <x:v>Leveranciersdata</x:v>
      </x:c>
      <x:c r="N27" s="6" t="str">
        <x:v>Ja</x:v>
      </x:c>
      <x:c r="O27" s="6" t="str">
        <x:v>RobotCellEngine.cs</x:v>
      </x:c>
    </x:row>
    <x:row r="28">
      <x:c r="A28" s="6" t="str">
        <x:v>PRD-RBC-006</x:v>
      </x:c>
      <x:c r="B28" s="6" t="str">
        <x:v>robotcel</x:v>
      </x:c>
      <x:c r="C28" s="6" t="str">
        <x:v>Inkoop</x:v>
      </x:c>
      <x:c r="D28" s="6" t="str">
        <x:v>profielen en profieltoebehoren</x:v>
      </x:c>
      <x:c r="E28" s="6" t="str">
        <x:v>Leveranciersvoorkeur</x:v>
      </x:c>
      <x:c r="F28" s="6" t="str">
        <x:v>Leverancier</x:v>
      </x:c>
      <x:c r="G28" s="6"/>
      <x:c r="H28" s="6" t="str">
        <x:v>SUP-TECHXXL</x:v>
      </x:c>
      <x:c r="I28" s="6" t="n">
        <x:v>1</x:v>
      </x:c>
      <x:c r="J28" s="6" t="str">
        <x:v>rang</x:v>
      </x:c>
      <x:c r="K28" s="6" t="str">
        <x:v>Centrale voorkeur; niet alleen voor robotcel</x:v>
      </x:c>
      <x:c r="L28" s="6" t="n">
        <x:v>270</x:v>
      </x:c>
      <x:c r="M28" s="6" t="str">
        <x:v>Goedgekeurd</x:v>
      </x:c>
      <x:c r="N28" s="6" t="str">
        <x:v>Ja</x:v>
      </x:c>
      <x:c r="O28" s="6" t="str">
        <x:v>SuppliersTable;SupplierPreferencesTable</x:v>
      </x:c>
    </x:row>
    <x:row r="29">
      <x:c r="A29" s="6" t="str">
        <x:v>PRD-RBC-007</x:v>
      </x:c>
      <x:c r="B29" s="6" t="str">
        <x:v>robotcel</x:v>
      </x:c>
      <x:c r="C29" s="6" t="str">
        <x:v>Geometrie</x:v>
      </x:c>
      <x:c r="D29" s="6" t="str">
        <x:v>onderste profielaag</x:v>
      </x:c>
      <x:c r="E29" s="6" t="str">
        <x:v>Tel- en oriëntatiemanifest</x:v>
      </x:c>
      <x:c r="F29" s="6" t="str">
        <x:v>Materiaal</x:v>
      </x:c>
      <x:c r="G29" s="6"/>
      <x:c r="H29" s="6" t="str">
        <x:v>alu_system_80x40</x:v>
      </x:c>
      <x:c r="I29" s="6" t="str">
        <x:v>4+1</x:v>
      </x:c>
      <x:c r="J29" s="6" t="str">
        <x:v>fysieke profielen</x:v>
      </x:c>
      <x:c r="K29" s="6" t="str">
        <x:v>Vier staande 40x80-omtrekliggers plus exact één staande 40x80-dwarsligger; Y=80 mm en dwarse horizontale maat=40 mm; buitenvlakken op geldige T-slotmoduulbanen; afwijking blokkeert de bouw</x:v>
      </x:c>
      <x:c r="L29" s="6" t="n">
        <x:v>290</x:v>
      </x:c>
      <x:c r="M29" s="6" t="str">
        <x:v>Goedgekeurd</x:v>
      </x:c>
      <x:c r="N29" s="6" t="str">
        <x:v>Ja</x:v>
      </x:c>
      <x:c r="O29" s="6" t="str">
        <x:v>RobotCellEngine.cs; config/robot-cell-assembly-manifest.json</x:v>
      </x:c>
    </x:row>
    <x:row r="30">
      <x:c r="A30" s="6" t="str">
        <x:v>PRD-RBC-008</x:v>
      </x:c>
      <x:c r="B30" s="6" t="str">
        <x:v>robotcel</x:v>
      </x:c>
      <x:c r="C30" s="6" t="str">
        <x:v>Verbinding</x:v>
      </x:c>
      <x:c r="D30" s="6" t="str">
        <x:v>staand 40x80 op 80x80-staander</x:v>
      </x:c>
      <x:c r="E30" s="6" t="str">
        <x:v>Moduulbaan</x:v>
      </x:c>
      <x:c r="F30" s="6" t="str">
        <x:v>Materiaal</x:v>
      </x:c>
      <x:c r="G30" s="6"/>
      <x:c r="H30" s="6" t="str">
        <x:v>alu_system_80x40;alu_system_80x80</x:v>
      </x:c>
      <x:c r="I30" s="6" t="str">
        <x:v>buiten/front of 40 mm verdiept</x:v>
      </x:c>
      <x:c r="J30" s="6" t="str">
        <x:v>40-mm moduulbaan</x:v>
      </x:c>
      <x:c r="K30" s="6" t="str">
        <x:v>40x80 bezet één volledige T-slotbaan; hartcentrering op 80x80 is verboden omdat de sleufhartlijnen niet samenvallen</x:v>
      </x:c>
      <x:c r="L30" s="6" t="n">
        <x:v>300</x:v>
      </x:c>
      <x:c r="M30" s="6" t="str">
        <x:v>Goedgekeurd</x:v>
      </x:c>
      <x:c r="N30" s="6" t="str">
        <x:v>Ja</x:v>
      </x:c>
      <x:c r="O30" s="6" t="str">
        <x:v>RobotCellEngine.cs; detect-profile-assembly skill</x:v>
      </x:c>
    </x:row>
    <x:row r="31">
      <x:c r="A31" s="6" t="str">
        <x:v>PRD-RBC-009</x:v>
      </x:c>
      <x:c r="B31" s="6" t="str">
        <x:v>robotcel</x:v>
      </x:c>
      <x:c r="C31" s="6" t="str">
        <x:v>Eindafwerking</x:v>
      </x:c>
      <x:c r="D31" s="6" t="str">
        <x:v>beide kopse einden achterrail</x:v>
      </x:c>
      <x:c r="E31" s="6" t="str">
        <x:v>Componentkeuze</x:v>
      </x:c>
      <x:c r="F31" s="6" t="str">
        <x:v>Component</x:v>
      </x:c>
      <x:c r="G31" s="6"/>
      <x:c r="H31" s="6" t="str">
        <x:v>techxxl_end_cap_8_160x40_black</x:v>
      </x:c>
      <x:c r="I31" s="6" t="n">
        <x:v>2</x:v>
      </x:c>
      <x:c r="J31" s="6" t="str">
        <x:v>st</x:v>
      </x:c>
      <x:c r="K31" s="6" t="str">
        <x:v>Detecteer beide blootgestelde uiteinden en plaats per uiteinde één serie- en typecompatibele zwarte afdekkap</x:v>
      </x:c>
      <x:c r="L31" s="6" t="n">
        <x:v>280</x:v>
      </x:c>
      <x:c r="M31" s="6" t="str">
        <x:v>Leveranciersdata</x:v>
      </x:c>
      <x:c r="N31" s="6" t="str">
        <x:v>Ja</x:v>
      </x:c>
      <x:c r="O31" s="6" t="str">
        <x:v>RobotCellEngine.cs; TechXXL TIN 100199</x:v>
      </x:c>
    </x:row>
    <x:row r="32">
      <x:c r="A32" s="6" t="str">
        <x:v>PRD-SBX-001</x:v>
      </x:c>
      <x:c r="B32" s="6" t="str">
        <x:v>shipping_box</x:v>
      </x:c>
      <x:c r="C32" s="6" t="str">
        <x:v>Maatvoering</x:v>
      </x:c>
      <x:c r="D32" s="6" t="str">
        <x:v>complete kist</x:v>
      </x:c>
      <x:c r="E32" s="6" t="str">
        <x:v>Referentiemaat</x:v>
      </x:c>
      <x:c r="F32" s="6" t="str">
        <x:v>Geen</x:v>
      </x:c>
      <x:c r="G32" s="6"/>
      <x:c r="H32" s="6"/>
      <x:c r="I32" s="6" t="str">
        <x:v>binnenmaten</x:v>
      </x:c>
      <x:c r="J32" s="6" t="str">
        <x:v>LxBxH</x:v>
      </x:c>
      <x:c r="K32" s="6" t="str">
        <x:v>Invoer beschrijft de vrije binnenruimte; buitenmaten volgen uit plaatdikte</x:v>
      </x:c>
      <x:c r="L32" s="6" t="n">
        <x:v>300</x:v>
      </x:c>
      <x:c r="M32" s="6" t="str">
        <x:v>Goedgekeurd</x:v>
      </x:c>
      <x:c r="N32" s="6" t="str">
        <x:v>Ja</x:v>
      </x:c>
      <x:c r="O32" s="6" t="str">
        <x:v>ShippingBoxEngine.cs</x:v>
      </x:c>
    </x:row>
    <x:row r="33">
      <x:c r="A33" s="6" t="str">
        <x:v>PRD-SBX-002</x:v>
      </x:c>
      <x:c r="B33" s="6" t="str">
        <x:v>shipping_box</x:v>
      </x:c>
      <x:c r="C33" s="6" t="str">
        <x:v>Materiaal</x:v>
      </x:c>
      <x:c r="D33" s="6" t="str">
        <x:v>alle zes panelen</x:v>
      </x:c>
      <x:c r="E33" s="6" t="str">
        <x:v>Materiaalkeuze</x:v>
      </x:c>
      <x:c r="F33" s="6" t="str">
        <x:v>Materiaal</x:v>
      </x:c>
      <x:c r="G33" s="6"/>
      <x:c r="H33" s="6" t="str">
        <x:v>osb_18</x:v>
      </x:c>
      <x:c r="I33" s="6" t="n">
        <x:v>18</x:v>
      </x:c>
      <x:c r="J33" s="6" t="str">
        <x:v>mm default</x:v>
      </x:c>
      <x:c r="K33" s="6" t="str">
        <x:v>Plaatmateriaal blijft kiesbaar; standaard OSB 18 mm</x:v>
      </x:c>
      <x:c r="L33" s="6" t="n">
        <x:v>260</x:v>
      </x:c>
      <x:c r="M33" s="6" t="str">
        <x:v>Voorlopig</x:v>
      </x:c>
      <x:c r="N33" s="6" t="str">
        <x:v>Ja</x:v>
      </x:c>
      <x:c r="O33" s="6" t="str">
        <x:v>PortalConfigurationFactory.cs</x:v>
      </x:c>
    </x:row>
    <x:row r="34">
      <x:c r="A34" s="6" t="str">
        <x:v>PRD-SBX-003</x:v>
      </x:c>
      <x:c r="B34" s="6" t="str">
        <x:v>shipping_box</x:v>
      </x:c>
      <x:c r="C34" s="6" t="str">
        <x:v>Opbouw</x:v>
      </x:c>
      <x:c r="D34" s="6" t="str">
        <x:v>panelen en sponningen</x:v>
      </x:c>
      <x:c r="E34" s="6" t="str">
        <x:v>Constructieregel</x:v>
      </x:c>
      <x:c r="F34" s="6" t="str">
        <x:v>Geen</x:v>
      </x:c>
      <x:c r="G34" s="6"/>
      <x:c r="H34" s="6"/>
      <x:c r="I34" s="6" t="str">
        <x:v>bodem/deksel 4; zijpanelen 2; voor/achter 0</x:v>
      </x:c>
      <x:c r="J34" s="6" t="str">
        <x:v>sponningen</x:v>
      </x:c>
      <x:c r="K34" s="6" t="str">
        <x:v>Paneelindeling volgens SnapCrate montagehandleiding</x:v>
      </x:c>
      <x:c r="L34" s="6" t="n">
        <x:v>300</x:v>
      </x:c>
      <x:c r="M34" s="6" t="str">
        <x:v>Voorlopig</x:v>
      </x:c>
      <x:c r="N34" s="6" t="str">
        <x:v>Ja</x:v>
      </x:c>
      <x:c r="O34" s="6" t="str">
        <x:v>https://www.snapcrates.com/files/2011/07/SnapCrate_instructions-Sept11.pdf</x:v>
      </x:c>
    </x:row>
    <x:row r="35">
      <x:c r="A35" s="6" t="str">
        <x:v>PRD-SBX-004</x:v>
      </x:c>
      <x:c r="B35" s="6" t="str">
        <x:v>shipping_box</x:v>
      </x:c>
      <x:c r="C35" s="6" t="str">
        <x:v>Beslag</x:v>
      </x:c>
      <x:c r="D35" s="6" t="str">
        <x:v>alle 12 kistnaden</x:v>
      </x:c>
      <x:c r="E35" s="6" t="str">
        <x:v>Componentkeuze</x:v>
      </x:c>
      <x:c r="F35" s="6" t="str">
        <x:v>Component</x:v>
      </x:c>
      <x:c r="G35" s="6"/>
      <x:c r="H35" s="6" t="str">
        <x:v>liangyue_ly103_12_candidate</x:v>
      </x:c>
      <x:c r="I35" s="6"/>
      <x:c r="J35" s="6"/>
      <x:c r="K35" s="6" t="str">
        <x:v>Voorkeursleverancier Liangyue; fysiek sample en tekening opvragen</x:v>
      </x:c>
      <x:c r="L35" s="6" t="n">
        <x:v>300</x:v>
      </x:c>
      <x:c r="M35" s="6" t="str">
        <x:v>Proefstuk</x:v>
      </x:c>
      <x:c r="N35" s="6" t="str">
        <x:v>Ja</x:v>
      </x:c>
      <x:c r="O35" s="6" t="str">
        <x:v>ProductDefaults.cs</x:v>
      </x:c>
    </x:row>
    <x:row r="36">
      <x:c r="A36" s="6" t="str">
        <x:v>PRD-SBX-005</x:v>
      </x:c>
      <x:c r="B36" s="6" t="str">
        <x:v>shipping_box</x:v>
      </x:c>
      <x:c r="C36" s="6" t="str">
        <x:v>CNC</x:v>
      </x:c>
      <x:c r="D36" s="6" t="str">
        <x:v>clipsleuven</x:v>
      </x:c>
      <x:c r="E36" s="6" t="str">
        <x:v>Sleufmaat</x:v>
      </x:c>
      <x:c r="F36" s="6" t="str">
        <x:v>Component</x:v>
      </x:c>
      <x:c r="G36" s="6"/>
      <x:c r="H36" s="6" t="str">
        <x:v>liangyue_ly103_12_candidate</x:v>
      </x:c>
      <x:c r="I36" s="6" t="str">
        <x:v>32x8</x:v>
      </x:c>
      <x:c r="J36" s="6" t="str">
        <x:v>mm</x:v>
      </x:c>
      <x:c r="K36" s="6" t="str">
        <x:v>Afgeleid uit foto en schaalreferentie; maak eerst een sleufmatrix-proefstrook</x:v>
      </x:c>
      <x:c r="L36" s="6" t="n">
        <x:v>320</x:v>
      </x:c>
      <x:c r="M36" s="6" t="str">
        <x:v>Proefstuk</x:v>
      </x:c>
      <x:c r="N36" s="6" t="str">
        <x:v>Ja</x:v>
      </x:c>
      <x:c r="O36" s="6" t="str">
        <x:v>ShippingBoxEngine.cs</x:v>
      </x:c>
    </x:row>
    <x:row r="37">
      <x:c r="A37" s="6" t="str">
        <x:v>PRD-SBX-006</x:v>
      </x:c>
      <x:c r="B37" s="6" t="str">
        <x:v>shipping_box</x:v>
      </x:c>
      <x:c r="C37" s="6" t="str">
        <x:v>CNC</x:v>
      </x:c>
      <x:c r="D37" s="6" t="str">
        <x:v>clipsleuven</x:v>
      </x:c>
      <x:c r="E37" s="6" t="str">
        <x:v>Randafstand</x:v>
      </x:c>
      <x:c r="F37" s="6" t="str">
        <x:v>Component</x:v>
      </x:c>
      <x:c r="G37" s="6"/>
      <x:c r="H37" s="6" t="str">
        <x:v>liangyue_ly103_12_candidate</x:v>
      </x:c>
      <x:c r="I37" s="6" t="n">
        <x:v>32</x:v>
      </x:c>
      <x:c r="J37" s="6" t="str">
        <x:v>mm hart tot rand</x:v>
      </x:c>
      <x:c r="K37" s="6" t="str">
        <x:v>Afgeleid; moet tegelijk met sleufmaat worden ingemeten</x:v>
      </x:c>
      <x:c r="L37" s="6" t="n">
        <x:v>320</x:v>
      </x:c>
      <x:c r="M37" s="6" t="str">
        <x:v>Proefstuk</x:v>
      </x:c>
      <x:c r="N37" s="6" t="str">
        <x:v>Ja</x:v>
      </x:c>
      <x:c r="O37" s="6" t="str">
        <x:v>ShippingBoxEngine.cs</x:v>
      </x:c>
    </x:row>
    <x:row r="38">
      <x:c r="A38" s="6" t="str">
        <x:v>PRD-SBX-007</x:v>
      </x:c>
      <x:c r="B38" s="6" t="str">
        <x:v>shipping_box</x:v>
      </x:c>
      <x:c r="C38" s="6" t="str">
        <x:v>Beslag</x:v>
      </x:c>
      <x:c r="D38" s="6" t="str">
        <x:v>clipverdeling</x:v>
      </x:c>
      <x:c r="E38" s="6" t="str">
        <x:v>Maximale afstand</x:v>
      </x:c>
      <x:c r="F38" s="6" t="str">
        <x:v>Component</x:v>
      </x:c>
      <x:c r="G38" s="6"/>
      <x:c r="H38" s="6" t="str">
        <x:v>liangyue_ly103_12_candidate</x:v>
      </x:c>
      <x:c r="I38" s="6" t="n">
        <x:v>350</x:v>
      </x:c>
      <x:c r="J38" s="6" t="str">
        <x:v>mm</x:v>
      </x:c>
      <x:c r="K38" s="6" t="str">
        <x:v>Ontwerpstartwaarde; belasting- en transportproef bepaalt vrijgave</x:v>
      </x:c>
      <x:c r="L38" s="6" t="n">
        <x:v>310</x:v>
      </x:c>
      <x:c r="M38" s="6" t="str">
        <x:v>Proefstuk</x:v>
      </x:c>
      <x:c r="N38" s="6" t="str">
        <x:v>Ja</x:v>
      </x:c>
      <x:c r="O38" s="6" t="str">
        <x:v>ShippingBoxEngine.cs</x:v>
      </x:c>
    </x:row>
    <x:row r="39">
      <x:c r="A39" s="6" t="str">
        <x:v>PRD-SBX-008</x:v>
      </x:c>
      <x:c r="B39" s="6" t="str">
        <x:v>shipping_box</x:v>
      </x:c>
      <x:c r="C39" s="6" t="str">
        <x:v>CNC</x:v>
      </x:c>
      <x:c r="D39" s="6" t="str">
        <x:v>sponningen</x:v>
      </x:c>
      <x:c r="E39" s="6" t="str">
        <x:v>Passing</x:v>
      </x:c>
      <x:c r="F39" s="6" t="str">
        <x:v>Geen</x:v>
      </x:c>
      <x:c r="G39" s="6"/>
      <x:c r="H39" s="6"/>
      <x:c r="I39" s="6" t="str">
        <x:v>dikte+0,4 / diepte 0,5xdikte</x:v>
      </x:c>
      <x:c r="J39" s="6" t="str">
        <x:v>mm</x:v>
      </x:c>
      <x:c r="K39" s="6" t="str">
        <x:v>Proefpassing per gekozen plaatmateriaal en werkelijke dikte</x:v>
      </x:c>
      <x:c r="L39" s="6" t="n">
        <x:v>300</x:v>
      </x:c>
      <x:c r="M39" s="6" t="str">
        <x:v>Proefstuk</x:v>
      </x:c>
      <x:c r="N39" s="6" t="str">
        <x:v>Ja</x:v>
      </x:c>
      <x:c r="O39" s="6" t="str">
        <x:v>ShippingBoxEngine.cs</x:v>
      </x:c>
    </x:row>
    <x:row r="40">
      <x:c r="A40" s="6" t="str">
        <x:v>PRD-SBX-009</x:v>
      </x:c>
      <x:c r="B40" s="6" t="str">
        <x:v>shipping_box</x:v>
      </x:c>
      <x:c r="C40" s="6" t="str">
        <x:v>Handling</x:v>
      </x:c>
      <x:c r="D40" s="6" t="str">
        <x:v>beide zijpanelen</x:v>
      </x:c>
      <x:c r="E40" s="6" t="str">
        <x:v>Portaloptie</x:v>
      </x:c>
      <x:c r="F40" s="6" t="str">
        <x:v>Geen</x:v>
      </x:c>
      <x:c r="G40" s="6"/>
      <x:c r="H40" s="6"/>
      <x:c r="I40" s="6" t="str">
        <x:v>uit</x:v>
      </x:c>
      <x:c r="J40" s="6" t="str">
        <x:v>boolean</x:v>
      </x:c>
      <x:c r="K40" s="6" t="str">
        <x:v>Handgrepen optioneel; reststerkte en nettolading apart beproeven</x:v>
      </x:c>
      <x:c r="L40" s="6" t="n">
        <x:v>250</x:v>
      </x:c>
      <x:c r="M40" s="6" t="str">
        <x:v>Voorlopig</x:v>
      </x:c>
      <x:c r="N40" s="6" t="str">
        <x:v>Ja</x:v>
      </x:c>
      <x:c r="O40" s="6" t="str">
        <x:v>PortalHtml.cs; ShippingBoxEngine.cs</x:v>
      </x:c>
    </x:row>
    <x:row r="41">
      <x:c r="A41" s="6" t="str">
        <x:v>PRD-MB-001</x:v>
      </x:c>
      <x:c r="B41" s="6" t="str">
        <x:v>machinebasis</x:v>
      </x:c>
      <x:c r="C41" s="6" t="str">
        <x:v>Materiaal</x:v>
      </x:c>
      <x:c r="D41" s="6" t="str">
        <x:v>staanders en bladframe</x:v>
      </x:c>
      <x:c r="E41" s="6" t="str">
        <x:v>Profielkeuze</x:v>
      </x:c>
      <x:c r="F41" s="6" t="str">
        <x:v>Materiaal</x:v>
      </x:c>
      <x:c r="G41" s="6"/>
      <x:c r="H41" s="6" t="str">
        <x:v>alu_system_80x40</x:v>
      </x:c>
      <x:c r="I41" s="6"/>
      <x:c r="J41" s="6"/>
      <x:c r="K41" s="6" t="str">
        <x:v>Machinebasis gebruikt 40x80 als primaire profielmaat; varianten blijven expliciet configureerbaar</x:v>
      </x:c>
      <x:c r="L41" s="6" t="n">
        <x:v>240</x:v>
      </x:c>
      <x:c r="M41" s="6" t="str">
        <x:v>Voorlopig</x:v>
      </x:c>
      <x:c r="N41" s="6" t="str">
        <x:v>Ja</x:v>
      </x:c>
      <x:c r="O41" s="6" t="str">
        <x:v>MachineBaseEngine.cs</x:v>
      </x:c>
    </x:row>
    <x:row r="42">
      <x:c r="A42" t="str">
        <x:v>PRD-MATW-001</x:v>
      </x:c>
      <x:c r="B42" t="str">
        <x:v>materiaalwagen</x:v>
      </x:c>
      <x:c r="C42" t="str">
        <x:v>Materiaal</x:v>
      </x:c>
      <x:c r="D42" t="str">
        <x:v>volledig frame</x:v>
      </x:c>
      <x:c r="E42" t="str">
        <x:v>Profielkeuze</x:v>
      </x:c>
      <x:c r="F42" t="str">
        <x:v>Materiaal</x:v>
      </x:c>
      <x:c r="G42"/>
      <x:c r="H42" t="str">
        <x:v>alu_system_40x40</x:v>
      </x:c>
      <x:c r="I42"/>
      <x:c r="J42"/>
      <x:c r="K42" t="str">
        <x:v>Alle staanders, omtrekliggers, middenliggers en duwbeugel uit 40x40</x:v>
      </x:c>
      <x:c r="L42" t="n">
        <x:v>270</x:v>
      </x:c>
      <x:c r="M42" t="str">
        <x:v>Goedgekeurd</x:v>
      </x:c>
      <x:c r="N42" t="str">
        <x:v>Ja</x:v>
      </x:c>
    </x:row>
    <x:row r="43">
      <x:c r="A43" t="str">
        <x:v>PRD-MATW-002</x:v>
      </x:c>
      <x:c r="B43" t="str">
        <x:v>materiaalwagen</x:v>
      </x:c>
      <x:c r="C43" t="str">
        <x:v>Opbouw</x:v>
      </x:c>
      <x:c r="D43" t="str">
        <x:v>iedere legbordlaag</x:v>
      </x:c>
      <x:c r="E43" t="str">
        <x:v>Telmanifest</x:v>
      </x:c>
      <x:c r="F43" t="str">
        <x:v>Materiaal</x:v>
      </x:c>
      <x:c r="G43"/>
      <x:c r="H43" t="str">
        <x:v>alu_system_40x40</x:v>
      </x:c>
      <x:c r="I43" t="str">
        <x:v>4 + automatisch 1</x:v>
      </x:c>
      <x:c r="J43" t="str">
        <x:v>profielen per laag</x:v>
      </x:c>
      <x:c r="K43" t="str">
        <x:v>Vier omtrekliggers; exact één middenligger wanneer buitenbreedte &gt;=1000 mm</x:v>
      </x:c>
      <x:c r="L43" t="n">
        <x:v>300</x:v>
      </x:c>
      <x:c r="M43" t="str">
        <x:v>Goedgekeurd</x:v>
      </x:c>
      <x:c r="N43" t="str">
        <x:v>Ja</x:v>
      </x:c>
    </x:row>
    <x:row r="44">
      <x:c r="A44" t="str">
        <x:v>PRD-MATW-003</x:v>
      </x:c>
      <x:c r="B44" t="str">
        <x:v>materiaalwagen</x:v>
      </x:c>
      <x:c r="C44" t="str">
        <x:v>Beslag</x:v>
      </x:c>
      <x:c r="D44" t="str">
        <x:v>wielopstelling vast/zwenkend</x:v>
      </x:c>
      <x:c r="E44" t="str">
        <x:v>Componentkeuze</x:v>
      </x:c>
      <x:c r="F44" t="str">
        <x:v>Component</x:v>
      </x:c>
      <x:c r="G44"/>
      <x:c r="H44" t="str">
        <x:v>techxxl_caster_fixed_d100;techxxl_caster_swivel_brake_d100</x:v>
      </x:c>
      <x:c r="I44" t="str">
        <x:v>2+2</x:v>
      </x:c>
      <x:c r="J44" t="str">
        <x:v>st</x:v>
      </x:c>
      <x:c r="K44" t="str">
        <x:v>Standaard twee vaste D100-wielen en twee zwenkwielen met dubbele rem</x:v>
      </x:c>
      <x:c r="L44" t="n">
        <x:v>290</x:v>
      </x:c>
      <x:c r="M44" t="str">
        <x:v>Leveranciersdata</x:v>
      </x:c>
      <x:c r="N44" t="str">
        <x:v>Ja</x:v>
      </x:c>
    </x:row>
    <x:row r="45">
      <x:c r="A45" t="str">
        <x:v>PRD-MATW-004</x:v>
      </x:c>
      <x:c r="B45" t="str">
        <x:v>materiaalwagen</x:v>
      </x:c>
      <x:c r="C45" t="str">
        <x:v>Beslag</x:v>
      </x:c>
      <x:c r="D45" t="str">
        <x:v>wielopstelling vier zwenkend</x:v>
      </x:c>
      <x:c r="E45" t="str">
        <x:v>Componentkeuze</x:v>
      </x:c>
      <x:c r="F45" t="str">
        <x:v>Component</x:v>
      </x:c>
      <x:c r="G45"/>
      <x:c r="H45" t="str">
        <x:v>techxxl_caster_swivel_d100;techxxl_caster_swivel_brake_d100</x:v>
      </x:c>
      <x:c r="I45" t="str">
        <x:v>2+2</x:v>
      </x:c>
      <x:c r="J45" t="str">
        <x:v>st</x:v>
      </x:c>
      <x:c r="K45" t="str">
        <x:v>Alternatief twee vrije zwenkwielen en twee zwenkwielen met dubbele rem</x:v>
      </x:c>
      <x:c r="L45" t="n">
        <x:v>290</x:v>
      </x:c>
      <x:c r="M45" t="str">
        <x:v>Leveranciersdata</x:v>
      </x:c>
      <x:c r="N45" t="str">
        <x:v>Ja</x:v>
      </x:c>
    </x:row>
    <x:row r="46">
      <x:c r="A46" t="str">
        <x:v>PRD-MATW-005</x:v>
      </x:c>
      <x:c r="B46" t="str">
        <x:v>materiaalwagen</x:v>
      </x:c>
      <x:c r="C46" t="str">
        <x:v>Geometrie</x:v>
      </x:c>
      <x:c r="D46" t="str">
        <x:v>alle profielkoppen</x:v>
      </x:c>
      <x:c r="E46" t="str">
        <x:v>Eindbehandeling</x:v>
      </x:c>
      <x:c r="F46" t="str">
        <x:v>Geen</x:v>
      </x:c>
      <x:c r="G46"/>
      <x:c r="H46"/>
      <x:c r="I46" t="n">
        <x:v>0</x:v>
      </x:c>
      <x:c r="J46" t="str">
        <x:v>eindkappen</x:v>
      </x:c>
      <x:c r="K46" t="str">
        <x:v>Liggerkoppen zijn verbonden; staanderkoppen door bovenblad en onderzijden door wielplaten afgedekt</x:v>
      </x:c>
      <x:c r="L46" t="n">
        <x:v>300</x:v>
      </x:c>
      <x:c r="M46" t="str">
        <x:v>Goedgekeurd</x:v>
      </x:c>
      <x:c r="N46" t="str">
        <x:v>Ja</x:v>
      </x:c>
    </x:row>
    <x:row r="47">
      <x:c r="A47" t="str">
        <x:v>PRD-MATW-006</x:v>
      </x:c>
      <x:c r="B47" t="str">
        <x:v>materiaalwagen</x:v>
      </x:c>
      <x:c r="C47" t="str">
        <x:v>Parameters</x:v>
      </x:c>
      <x:c r="D47" t="str">
        <x:v>klantconfigurator</x:v>
      </x:c>
      <x:c r="E47" t="str">
        <x:v>Parametercontract</x:v>
      </x:c>
      <x:c r="F47" t="str">
        <x:v>Geen</x:v>
      </x:c>
      <x:c r="G47"/>
      <x:c r="H47"/>
      <x:c r="I47" t="str">
        <x:v>600..1800;450..1000;700..1200;2..4</x:v>
      </x:c>
      <x:c r="J47" t="str">
        <x:v>mm/mm/mm/lagen</x:v>
      </x:c>
      <x:c r="K47" t="str">
        <x:v>Breedte, diepte, bovenzijde bovenblad en aantal legbordlagen; duwbeugel links/rechts/geen en twee wielmodi</x:v>
      </x:c>
      <x:c r="L47" t="n">
        <x:v>300</x:v>
      </x:c>
      <x:c r="M47" t="str">
        <x:v>Goedgekeurd</x:v>
      </x:c>
      <x:c r="N47" t="str">
        <x:v>Ja</x:v>
      </x:c>
    </x:row>
    <x:row r="48">
      <x:c r="A48" t="str">
        <x:v>PRD-SIM-001</x:v>
      </x:c>
      <x:c r="B48" t="str">
        <x:v>sim_rig_4080</x:v>
      </x:c>
      <x:c r="C48" t="str">
        <x:v>Materiaal</x:v>
      </x:c>
      <x:c r="D48" t="str">
        <x:v>alle profielen</x:v>
      </x:c>
      <x:c r="E48" t="str">
        <x:v>Profielkeuze</x:v>
      </x:c>
      <x:c r="F48" t="str">
        <x:v>Materiaal</x:v>
      </x:c>
      <x:c r="G48"/>
      <x:c r="H48" t="str">
        <x:v>alu_system_80x40</x:v>
      </x:c>
      <x:c r="I48"/>
      <x:c r="J48"/>
      <x:c r="K48" t="str">
        <x:v>Alle primaire delen gebruiken 40x80; iedere rol bewaart een numerieke vlak/staand-orientatie</x:v>
      </x:c>
      <x:c r="L48" t="n">
        <x:v>300</x:v>
      </x:c>
      <x:c r="M48" t="str">
        <x:v>Referentiehypothese</x:v>
      </x:c>
      <x:c r="N48" t="str">
        <x:v>Ja</x:v>
      </x:c>
    </x:row>
    <x:row r="49">
      <x:c r="A49" t="str">
        <x:v>PRD-SIM-002</x:v>
      </x:c>
      <x:c r="B49" t="str">
        <x:v>sim_rig_4080</x:v>
      </x:c>
      <x:c r="C49" t="str">
        <x:v>Opbouw</x:v>
      </x:c>
      <x:c r="D49" t="str">
        <x:v>basislaag</x:v>
      </x:c>
      <x:c r="E49" t="str">
        <x:v>Telmanifest</x:v>
      </x:c>
      <x:c r="F49" t="str">
        <x:v>Materiaal</x:v>
      </x:c>
      <x:c r="G49"/>
      <x:c r="H49" t="str">
        <x:v>alu_system_80x40</x:v>
      </x:c>
      <x:c r="I49" t="str">
        <x:v>2+3</x:v>
      </x:c>
      <x:c r="J49" t="str">
        <x:v>profielen</x:v>
      </x:c>
      <x:c r="K49" t="str">
        <x:v>Twee vlakke langsliggers en exact drie vlakke dwarsliggers</x:v>
      </x:c>
      <x:c r="L49" t="n">
        <x:v>300</x:v>
      </x:c>
      <x:c r="M49" t="str">
        <x:v>Referentiehypothese</x:v>
      </x:c>
      <x:c r="N49" t="str">
        <x:v>Ja</x:v>
      </x:c>
    </x:row>
    <x:row r="50">
      <x:c r="A50" t="str">
        <x:v>PRD-SIM-003</x:v>
      </x:c>
      <x:c r="B50" t="str">
        <x:v>sim_rig_4080</x:v>
      </x:c>
      <x:c r="C50" t="str">
        <x:v>Opbouw</x:v>
      </x:c>
      <x:c r="D50" t="str">
        <x:v>stuur en pedalen</x:v>
      </x:c>
      <x:c r="E50" t="str">
        <x:v>Telmanifest</x:v>
      </x:c>
      <x:c r="F50" t="str">
        <x:v>Materiaal</x:v>
      </x:c>
      <x:c r="G50"/>
      <x:c r="H50" t="str">
        <x:v>alu_system_80x40</x:v>
      </x:c>
      <x:c r="I50" t="str">
        <x:v>2+1+3</x:v>
      </x:c>
      <x:c r="J50" t="str">
        <x:v>profielen</x:v>
      </x:c>
      <x:c r="K50" t="str">
        <x:v>Twee stuurstaanders, één staande stuurbrug en drie vlakke pedaalprofielen</x:v>
      </x:c>
      <x:c r="L50" t="n">
        <x:v>300</x:v>
      </x:c>
      <x:c r="M50" t="str">
        <x:v>Referentiehypothese</x:v>
      </x:c>
      <x:c r="N50" t="str">
        <x:v>Ja</x:v>
      </x:c>
    </x:row>
    <x:row r="51">
      <x:c r="A51" t="str">
        <x:v>PRD-SIM-004</x:v>
      </x:c>
      <x:c r="B51" t="str">
        <x:v>sim_rig_4080</x:v>
      </x:c>
      <x:c r="C51" t="str">
        <x:v>Custom platen</x:v>
      </x:c>
      <x:c r="D51" t="str">
        <x:v>alle adapterfuncties</x:v>
      </x:c>
      <x:c r="E51" t="str">
        <x:v>Componentkeuze</x:v>
      </x:c>
      <x:c r="F51" t="str">
        <x:v>Component</x:v>
      </x:c>
      <x:c r="G51"/>
      <x:c r="H51" t="str">
        <x:v>custom_simrig_steering_side_plate_v1;custom_simrig_upright_t_plate_v1;custom_simrig_pedal_angle_plate_v1</x:v>
      </x:c>
      <x:c r="I51" t="str">
        <x:v>2+2+2</x:v>
      </x:c>
      <x:c r="J51" t="str">
        <x:v>st</x:v>
      </x:c>
      <x:c r="K51" t="str">
        <x:v>Zes CNC-platen; gekoppelde vlakken, gaten en instelbereik zijn verplicht</x:v>
      </x:c>
      <x:c r="L51" t="n">
        <x:v>320</x:v>
      </x:c>
      <x:c r="M51" t="str">
        <x:v>Referentiehypothese</x:v>
      </x:c>
      <x:c r="N51" t="str">
        <x:v>Ja</x:v>
      </x:c>
    </x:row>
    <x:row r="52">
      <x:c r="A52" t="str">
        <x:v>PRD-SIM-005</x:v>
      </x:c>
      <x:c r="B52" t="str">
        <x:v>sim_rig_4080</x:v>
      </x:c>
      <x:c r="C52" t="str">
        <x:v>Custom platen</x:v>
      </x:c>
      <x:c r="D52" t="str">
        <x:v>contourvereenvoudiging</x:v>
      </x:c>
      <x:c r="E52" t="str">
        <x:v>Ontwerpregel</x:v>
      </x:c>
      <x:c r="F52" t="str">
        <x:v>Geen</x:v>
      </x:c>
      <x:c r="G52"/>
      <x:c r="H52"/>
      <x:c r="I52" t="str">
        <x:v>functioneel minimum</x:v>
      </x:c>
      <x:c r="J52"/>
      <x:c r="K52" t="str">
        <x:v>Behoud belastingpad, interfaces en benodigde gaten/sleuven; verwijder decoratieve uitsparingen</x:v>
      </x:c>
      <x:c r="L52" t="n">
        <x:v>320</x:v>
      </x:c>
      <x:c r="M52" t="str">
        <x:v>Goedgekeurd</x:v>
      </x:c>
      <x:c r="N52" t="str">
        <x:v>Ja</x:v>
      </x:c>
    </x:row>
    <x:row r="53">
      <x:c r="A53" t="str">
        <x:v>PRD-SIM-006</x:v>
      </x:c>
      <x:c r="B53" t="str">
        <x:v>sim_rig_4080</x:v>
      </x:c>
      <x:c r="C53" t="str">
        <x:v>Stuurwielbasis</x:v>
      </x:c>
      <x:c r="D53" t="str">
        <x:v>CSL DD zijmontage</x:v>
      </x:c>
      <x:c r="E53" t="str">
        <x:v>Gatenpatroon</x:v>
      </x:c>
      <x:c r="F53" t="str">
        <x:v>Component</x:v>
      </x:c>
      <x:c r="G53"/>
      <x:c r="H53" t="str">
        <x:v>custom_simrig_steering_side_plate_v1</x:v>
      </x:c>
      <x:c r="I53" t="str">
        <x:v>M6; plaat 10; inschroef 10</x:v>
      </x:c>
      <x:c r="J53" t="str">
        <x:v>mm</x:v>
      </x:c>
      <x:c r="K53" t="str">
        <x:v>M6x20 bij 10 mm plaat; voorzijdegaten van wheelbase nooit als hard-mount gebruiken</x:v>
      </x:c>
      <x:c r="L53" t="n">
        <x:v>330</x:v>
      </x:c>
      <x:c r="M53" t="str">
        <x:v>Leveranciersdata</x:v>
      </x:c>
      <x:c r="N53" t="str">
        <x:v>Ja</x:v>
      </x:c>
    </x:row>
    <x:row r="54">
      <x:c r="A54" t="str">
        <x:v>PRD-SIM-007</x:v>
      </x:c>
      <x:c r="B54" t="str">
        <x:v>sim_rig_4080</x:v>
      </x:c>
      <x:c r="C54" t="str">
        <x:v>Geometrie</x:v>
      </x:c>
      <x:c r="D54" t="str">
        <x:v>blootgestelde profielkoppen</x:v>
      </x:c>
      <x:c r="E54" t="str">
        <x:v>Eindbehandeling</x:v>
      </x:c>
      <x:c r="F54" t="str">
        <x:v>Geen</x:v>
      </x:c>
      <x:c r="G54"/>
      <x:c r="H54"/>
      <x:c r="I54" t="n">
        <x:v>6</x:v>
      </x:c>
      <x:c r="J54" t="str">
        <x:v>eindkappen</x:v>
      </x:c>
      <x:c r="K54" t="str">
        <x:v>Vier basisuiteinden en twee bovenzijden stuurstaanders krijgen seriepassende 40x80-kappen</x:v>
      </x:c>
      <x:c r="L54" t="n">
        <x:v>300</x:v>
      </x:c>
      <x:c r="M54" t="str">
        <x:v>Referentiehypothese</x:v>
      </x:c>
      <x:c r="N54" t="str">
        <x:v>Ja</x:v>
      </x:c>
    </x:row>
    <x:row r="55">
      <x:c r="A55" t="str">
        <x:v>PRD-SIM-008</x:v>
      </x:c>
      <x:c r="B55" t="str">
        <x:v>sim_rig_4080</x:v>
      </x:c>
      <x:c r="C55" t="str">
        <x:v>Parameters</x:v>
      </x:c>
      <x:c r="D55" t="str">
        <x:v>klantconfigurator</x:v>
      </x:c>
      <x:c r="E55" t="str">
        <x:v>Parametercontract</x:v>
      </x:c>
      <x:c r="F55" t="str">
        <x:v>Geen</x:v>
      </x:c>
      <x:c r="G55"/>
      <x:c r="H55"/>
      <x:c r="I55" t="str">
        <x:v>600..800;1200..1800;550..850;0..25</x:v>
      </x:c>
      <x:c r="J55" t="str">
        <x:v>mm/mm/mm/graden</x:v>
      </x:c>
      <x:c r="K55" t="str">
        <x:v>Buitenbreedte, lengte, stuurhoogte, brugpositie, pedaalpositie, pedaalhoek en CSL-DD/blanco plaat</x:v>
      </x:c>
      <x:c r="L55" t="n">
        <x:v>300</x:v>
      </x:c>
      <x:c r="M55" t="str">
        <x:v>Goedgekeurd</x:v>
      </x:c>
      <x:c r="N55" t="str">
        <x:v>Ja</x:v>
      </x:c>
    </x:row>
  </x:sheetData>
  <x:mergeCells>
    <x:mergeCell ref="A1:N1"/>
    <x:mergeCell ref="A2:N2"/>
    <x:mergeCell ref="A1:O1"/>
    <x:mergeCell ref="A2:O2"/>
  </x:mergeCells>
  <x:conditionalFormatting sqref="L6:L100">
    <x:cfRule type="containsText" dxfId="26" priority="1" operator="containsText" text="Goedgekeurd"/>
    <x:cfRule type="containsText" dxfId="27" priority="2" operator="containsText" text="Voorlopig"/>
    <x:cfRule type="containsText" dxfId="28" priority="3" operator="containsText" text="Geblokkeerd"/>
    <x:cfRule type="containsText" dxfId="29" priority="4" operator="containsText" text="Open"/>
  </x:conditionalFormatting>
  <x:dataValidations count="2">
    <x:dataValidation type="list" sqref="L6:L100">
      <x:formula1>"Goedgekeurd,Voorlopig,Te controleren,Open,Geblokkeerd,Vervallen"</x:formula1>
    </x:dataValidation>
    <x:dataValidation type="list" sqref="M6:M100">
      <x:formula1>"Ja,Nee"</x:formula1>
    </x:dataValidation>
  </x:dataValidations>
  <x:pageMargins left="0.7" right="0.7" top="0.75" bottom="0.75" header="0.3" footer="0.3"/>
  <x:legacyDrawing xmlns:r="http://schemas.openxmlformats.org/officeDocument/2006/relationships" r:id="R237f8069b7cb4d5a"/>
  <x:tableParts count="1">
    <x:tablePart xmlns:r="http://schemas.openxmlformats.org/officeDocument/2006/relationships" r:id="R9db00119319e46b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20" hidden="0" customWidth="1"/>
    <x:col min="4" max="4" width="62" hidden="0" customWidth="1"/>
    <x:col min="5" max="5" width="14" hidden="0" customWidth="1"/>
    <x:col min="6" max="6" width="14" hidden="0" customWidth="1"/>
    <x:col min="7" max="7" width="52" hidden="0" customWidth="1"/>
    <x:col min="8" max="8" width="18" hidden="0" customWidth="1"/>
    <x:col min="9" max="9" width="20" hidden="0" customWidth="1"/>
  </x:cols>
  <x:sheetData>
    <x:row r="1" ht="28" customHeight="1">
      <x:c r="A1" s="2" t="str">
        <x:v>Vrijgave- en veiligheidscontroles</x:v>
      </x:c>
      <x:c r="B1" s="2"/>
      <x:c r="C1" s="2"/>
      <x:c r="D1" s="2"/>
      <x:c r="E1" s="2"/>
      <x:c r="F1" s="2"/>
      <x:c r="G1" s="2"/>
      <x:c r="H1" s="2"/>
      <x:c r="I1" s="2"/>
    </x:row>
    <x:row r="2" ht="34" customHeight="1">
      <x:c r="A2" s="5" t="str">
        <x:v>Controles zijn aparte records: een regel kiest wat moet gebeuren; een controle bewijst dat de resulterende geometrie en stuklijst veilig en compleet zijn.</x:v>
      </x:c>
      <x:c r="B2" s="5"/>
      <x:c r="C2" s="5"/>
      <x:c r="D2" s="5"/>
      <x:c r="E2" s="5"/>
      <x:c r="F2" s="5"/>
      <x:c r="G2" s="5"/>
      <x:c r="H2" s="5"/>
      <x:c r="I2" s="5"/>
    </x:row>
    <x:row r="5" ht="32" customHeight="1">
      <x:c r="A5" s="10" t="str">
        <x:v>Controle-ID</x:v>
      </x:c>
      <x:c r="B5" s="11" t="str">
        <x:v>Scope</x:v>
      </x:c>
      <x:c r="C5" s="11" t="str">
        <x:v>Type</x:v>
      </x:c>
      <x:c r="D5" s="11" t="str">
        <x:v>Voorwaarde</x:v>
      </x:c>
      <x:c r="E5" s="11" t="str">
        <x:v>Ernst</x:v>
      </x:c>
      <x:c r="F5" s="11" t="str">
        <x:v>Blokkeert</x:v>
      </x:c>
      <x:c r="G5" s="11" t="str">
        <x:v>Foutmelding/doel</x:v>
      </x:c>
      <x:c r="H5" s="11" t="str">
        <x:v>Status</x:v>
      </x:c>
      <x:c r="I5" s="12" t="str">
        <x:v>Implementatie</x:v>
      </x:c>
    </x:row>
    <x:row r="6">
      <x:c r="A6" s="13" t="str">
        <x:v>VAL-REF-001</x:v>
      </x:c>
      <x:c r="B6" s="13" t="str">
        <x:v>Alle producten</x:v>
      </x:c>
      <x:c r="C6" s="13" t="str">
        <x:v>Referentie</x:v>
      </x:c>
      <x:c r="D6" s="13" t="str">
        <x:v>Product-ID, categorie-ID, recept-ID en component-ID bestaan</x:v>
      </x:c>
      <x:c r="E6" s="13" t="str">
        <x:v>Kritiek</x:v>
      </x:c>
      <x:c r="F6" s="13" t="str">
        <x:v>Ja</x:v>
      </x:c>
      <x:c r="G6" s="13" t="str">
        <x:v>Export blokkeren en ontbrekend ID tonen</x:v>
      </x:c>
      <x:c r="H6" s="13" t="str">
        <x:v>Goedgekeurd</x:v>
      </x:c>
      <x:c r="I6" s="13" t="str">
        <x:v>Automatisch</x:v>
      </x:c>
    </x:row>
    <x:row r="7">
      <x:c r="A7" s="14" t="str">
        <x:v>VAL-INH-001</x:v>
      </x:c>
      <x:c r="B7" s="14" t="str">
        <x:v>Alle producten</x:v>
      </x:c>
      <x:c r="C7" s="14" t="str">
        <x:v>Overerving</x:v>
      </x:c>
      <x:c r="D7" s="14" t="str">
        <x:v>Geen cyclische overerving; product zonder eigen/geërfde standaard faalt</x:v>
      </x:c>
      <x:c r="E7" s="14" t="str">
        <x:v>Kritiek</x:v>
      </x:c>
      <x:c r="F7" s="14" t="str">
        <x:v>Ja</x:v>
      </x:c>
      <x:c r="G7" s="14" t="str">
        <x:v>Productstandaard ontbreekt of overervingscyclus</x:v>
      </x:c>
      <x:c r="H7" s="14" t="str">
        <x:v>Goedgekeurd</x:v>
      </x:c>
      <x:c r="I7" s="14" t="str">
        <x:v>Automatisch</x:v>
      </x:c>
    </x:row>
    <x:row r="8">
      <x:c r="A8" s="14" t="str">
        <x:v>VAL-WOOD-001</x:v>
      </x:c>
      <x:c r="B8" s="14" t="str">
        <x:v>Houtverbinding</x:v>
      </x:c>
      <x:c r="C8" s="14" t="str">
        <x:v>Grip</x:v>
      </x:c>
      <x:c r="D8" s="14" t="str">
        <x:v>Kopse grip &gt;=20 mm</x:v>
      </x:c>
      <x:c r="E8" s="14" t="str">
        <x:v>Kritiek</x:v>
      </x:c>
      <x:c r="F8" s="14" t="str">
        <x:v>Ja</x:v>
      </x:c>
      <x:c r="G8" s="14" t="str">
        <x:v>Geen veilige handelslengte</x:v>
      </x:c>
      <x:c r="H8" s="14" t="str">
        <x:v>Goedgekeurd</x:v>
      </x:c>
      <x:c r="I8" s="14" t="str">
        <x:v>Automatisch</x:v>
      </x:c>
    </x:row>
    <x:row r="9">
      <x:c r="A9" s="14" t="str">
        <x:v>VAL-WOOD-002</x:v>
      </x:c>
      <x:c r="B9" s="14" t="str">
        <x:v>Plaatvlak</x:v>
      </x:c>
      <x:c r="C9" s="14" t="str">
        <x:v>Restmateriaal</x:v>
      </x:c>
      <x:c r="D9" s="14" t="str">
        <x:v>Grip &gt;4 mm en restmateriaal &gt;=2 mm</x:v>
      </x:c>
      <x:c r="E9" s="14" t="str">
        <x:v>Kritiek</x:v>
      </x:c>
      <x:c r="F9" s="14" t="str">
        <x:v>Ja</x:v>
      </x:c>
      <x:c r="G9" s="14" t="str">
        <x:v>Schroef te kort of risico op doorsteek</x:v>
      </x:c>
      <x:c r="H9" s="14" t="str">
        <x:v>Goedgekeurd</x:v>
      </x:c>
      <x:c r="I9" s="14" t="str">
        <x:v>Automatisch</x:v>
      </x:c>
    </x:row>
    <x:row r="10">
      <x:c r="A10" s="14" t="str">
        <x:v>VAL-COL-001</x:v>
      </x:c>
      <x:c r="B10" s="14" t="str">
        <x:v>Tegenoverliggende schroeven</x:v>
      </x:c>
      <x:c r="C10" s="14" t="str">
        <x:v>Botsing</x:v>
      </x:c>
      <x:c r="D10" s="14" t="str">
        <x:v>Vrije tipruimte &gt;=2 mm en assen raken/kruisen niet</x:v>
      </x:c>
      <x:c r="E10" s="14" t="str">
        <x:v>Kritiek</x:v>
      </x:c>
      <x:c r="F10" s="14" t="str">
        <x:v>Ja</x:v>
      </x:c>
      <x:c r="G10" s="14" t="str">
        <x:v>Tegenoverliggende bevestigers botsen</x:v>
      </x:c>
      <x:c r="H10" s="14" t="str">
        <x:v>Goedgekeurd</x:v>
      </x:c>
      <x:c r="I10" s="14" t="str">
        <x:v>Deels automatisch</x:v>
      </x:c>
    </x:row>
    <x:row r="11">
      <x:c r="A11" s="14" t="str">
        <x:v>VAL-RAIL-001</x:v>
      </x:c>
      <x:c r="B11" s="14" t="str">
        <x:v>Werkbankkast rail</x:v>
      </x:c>
      <x:c r="C11" s="14" t="str">
        <x:v>Componentpatroon</x:v>
      </x:c>
      <x:c r="D11" s="14" t="str">
        <x:v>Pilotgat Ø3; buitenwand blind; exacte combinatie Ø4,2x9,5 plaatkop, 0,5 mm rail en 18 mm T-tussenschot fysiek vrijgegeven</x:v>
      </x:c>
      <x:c r="E11" s="14" t="str">
        <x:v>Kritiek</x:v>
      </x:c>
      <x:c r="F11" s="14" t="str">
        <x:v>Ja</x:v>
      </x:c>
      <x:c r="G11" s="14" t="str">
        <x:v>Bij wijziging van schroef, railmateriaalweg of plaatdikte opnieuw blokkeren tot fysieke proef</x:v>
      </x:c>
      <x:c r="H11" s="14" t="str">
        <x:v>Goedgekeurd</x:v>
      </x:c>
      <x:c r="I11" s="14" t="str">
        <x:v>Automatisch</x:v>
      </x:c>
    </x:row>
    <x:row r="12">
      <x:c r="A12" s="14" t="str">
        <x:v>VAL-CAM-001</x:v>
      </x:c>
      <x:c r="B12" s="14" t="str">
        <x:v>Souvereinen/kanten</x:v>
      </x:c>
      <x:c r="C12" s="14" t="str">
        <x:v>Gereedschap</x:v>
      </x:c>
      <x:c r="D12" s="14" t="str">
        <x:v>V-hoek, punt-/snij-/schacht-Ø, conus- en cilindrische snijlengte, snijkanten, toerental, voeding, plunge, stap-/maxdiepte, Z-referentie, doelmaat, zijde en volgorde gevuld</x:v>
      </x:c>
      <x:c r="E12" s="14" t="str">
        <x:v>Kritiek</x:v>
      </x:c>
      <x:c r="F12" s="14" t="str">
        <x:v>Ja</x:v>
      </x:c>
      <x:c r="G12" s="14" t="str">
        <x:v>V-freesbewerking bevat uitgesloten gaten/contouren of wijkt af van proefwaarden</x:v>
      </x:c>
      <x:c r="H12" s="14" t="str">
        <x:v>Voorlopig</x:v>
      </x:c>
      <x:c r="I12" s="14" t="str">
        <x:v>Automatisch actief in per-deel en geneste G-code</x:v>
      </x:c>
    </x:row>
    <x:row r="13">
      <x:c r="A13" s="14" t="str">
        <x:v>VAL-ALU-001</x:v>
      </x:c>
      <x:c r="B13" s="14" t="str">
        <x:v>Aluminium verbinding</x:v>
      </x:c>
      <x:c r="C13" s="14" t="str">
        <x:v>Klempakket</x:v>
      </x:c>
      <x:c r="D13" s="14" t="str">
        <x:v>Boutlengte, ring/moer, draadgrip, gatspeling en moment compleet</x:v>
      </x:c>
      <x:c r="E13" s="14" t="str">
        <x:v>Kritiek</x:v>
      </x:c>
      <x:c r="F13" s="14" t="str">
        <x:v>Ja</x:v>
      </x:c>
      <x:c r="G13" s="14" t="str">
        <x:v>Aluminiumverbinding nog niet technisch compleet</x:v>
      </x:c>
      <x:c r="H13" s="14" t="str">
        <x:v>Open</x:v>
      </x:c>
      <x:c r="I13" s="14" t="str">
        <x:v>Nog bouwen</x:v>
      </x:c>
    </x:row>
    <x:row r="14">
      <x:c r="A14" s="15" t="str">
        <x:v>VAL-SYNC-001</x:v>
      </x:c>
      <x:c r="B14" s="15" t="str">
        <x:v>Alle producten</x:v>
      </x:c>
      <x:c r="C14" s="15" t="str">
        <x:v>Outputconsistentie</x:v>
      </x:c>
      <x:c r="D14" s="15" t="str">
        <x:v>BOM, CAM, 3D en assemblage gebruiken dezelfde componentversie</x:v>
      </x:c>
      <x:c r="E14" s="15" t="str">
        <x:v>Kritiek</x:v>
      </x:c>
      <x:c r="F14" s="15" t="str">
        <x:v>Ja</x:v>
      </x:c>
      <x:c r="G14" s="15" t="str">
        <x:v>Outputbronnen spreken elkaar tegen</x:v>
      </x:c>
      <x:c r="H14" s="15" t="str">
        <x:v>Open</x:v>
      </x:c>
      <x:c r="I14" s="15" t="str">
        <x:v>Nog bouwen</x:v>
      </x:c>
    </x:row>
    <x:row r="15">
      <x:c r="A15" t="str">
        <x:v>VAL-SUP-001</x:v>
      </x:c>
      <x:c r="B15" t="str">
        <x:v>Alle producten</x:v>
      </x:c>
      <x:c r="C15" t="str">
        <x:v>Leveranciersreferentie</x:v>
      </x:c>
      <x:c r="D15" t="str">
        <x:v>Elke aanbieding en voorkeur verwijst naar een bestaande Leverancier-ID</x:v>
      </x:c>
      <x:c r="E15" t="str">
        <x:v>Kritiek</x:v>
      </x:c>
      <x:c r="F15" t="str">
        <x:v>Ja</x:v>
      </x:c>
      <x:c r="G15" t="str">
        <x:v>Onbekende leverancier-ID of naamkoppeling aangetroffen</x:v>
      </x:c>
      <x:c r="H15" t="str">
        <x:v>Goedgekeurd</x:v>
      </x:c>
      <x:c r="I15" t="str">
        <x:v>PortalPricingService + masteraudit</x:v>
      </x:c>
    </x:row>
    <x:row r="16">
      <x:c r="A16" t="str">
        <x:v>VAL-SUP-002</x:v>
      </x:c>
      <x:c r="B16" t="str">
        <x:v>Alle producten</x:v>
      </x:c>
      <x:c r="C16" t="str">
        <x:v>Voorkeursselectie</x:v>
      </x:c>
      <x:c r="D16" t="str">
        <x:v>Categorie, subcategorie, scope en rang bepalen samen de leverancier; actieve dubbele rang is verboden</x:v>
      </x:c>
      <x:c r="E16" t="str">
        <x:v>Kritiek</x:v>
      </x:c>
      <x:c r="F16" t="str">
        <x:v>Ja</x:v>
      </x:c>
      <x:c r="G16" t="str">
        <x:v>Leveranciersselectie is ambigu</x:v>
      </x:c>
      <x:c r="H16" t="str">
        <x:v>Goedgekeurd</x:v>
      </x:c>
      <x:c r="I16" t="str">
        <x:v>PortalPricingService + masteraudit</x:v>
      </x:c>
    </x:row>
    <x:row r="17">
      <x:c r="A17" t="str">
        <x:v>VAL-IMG-001</x:v>
      </x:c>
      <x:c r="B17" t="str">
        <x:v>Leveranciersaanbiedingen</x:v>
      </x:c>
      <x:c r="C17" t="str">
        <x:v>Afbeeldingskoppeling</x:v>
      </x:c>
      <x:c r="D17" t="str">
        <x:v>Afbeelding-ID bestaat in config/catalog-images/image-catalog.json en lokaal bestand bestaat</x:v>
      </x:c>
      <x:c r="E17" t="str">
        <x:v>Hoog</x:v>
      </x:c>
      <x:c r="F17" t="str">
        <x:v>Ja</x:v>
      </x:c>
      <x:c r="G17" t="str">
        <x:v>Afbeeldingsrecord of bestand ontbreekt</x:v>
      </x:c>
      <x:c r="H17" t="str">
        <x:v>Goedgekeurd</x:v>
      </x:c>
      <x:c r="I17" t="str">
        <x:v>Masterdata-audit; Excel-afbeelding is alleen preview</x:v>
      </x:c>
    </x:row>
    <x:row r="18">
      <x:c r="A18" t="str">
        <x:v>VAL-MATW-001</x:v>
      </x:c>
      <x:c r="B18" t="str">
        <x:v>Materiaalwagen</x:v>
      </x:c>
      <x:c r="C18" t="str">
        <x:v>Telcontract</x:v>
      </x:c>
      <x:c r="D18" t="str">
        <x:v>Per laag exact vier omtrekliggers; bij breedte &gt;=1000 exact één middenligger</x:v>
      </x:c>
      <x:c r="E18" t="str">
        <x:v>Kritiek</x:v>
      </x:c>
      <x:c r="F18" t="str">
        <x:v>Ja</x:v>
      </x:c>
      <x:c r="G18" t="str">
        <x:v>Legbordlaag heeft verkeerd aantal profielen</x:v>
      </x:c>
      <x:c r="H18" t="str">
        <x:v>Goedgekeurd</x:v>
      </x:c>
      <x:c r="I18" t="str">
        <x:v>MaterialCartEngine + regressietest</x:v>
      </x:c>
      <x:c r="J18"/>
    </x:row>
    <x:row r="19">
      <x:c r="A19" t="str">
        <x:v>VAL-MATW-002</x:v>
      </x:c>
      <x:c r="B19" t="str">
        <x:v>Materiaalwagen</x:v>
      </x:c>
      <x:c r="C19" t="str">
        <x:v>Assembly</x:v>
      </x:c>
      <x:c r="D19" t="str">
        <x:v>Vier staanders, vier wielplaten, vier wielen en legbordaantal gelijk aan invoer</x:v>
      </x:c>
      <x:c r="E19" t="str">
        <x:v>Kritiek</x:v>
      </x:c>
      <x:c r="F19" t="str">
        <x:v>Ja</x:v>
      </x:c>
      <x:c r="G19" t="str">
        <x:v>Assemblytelling wijkt af van configuratie</x:v>
      </x:c>
      <x:c r="H19" t="str">
        <x:v>Goedgekeurd</x:v>
      </x:c>
      <x:c r="I19" t="str">
        <x:v>MaterialCartEngine + regressietest</x:v>
      </x:c>
      <x:c r="J19"/>
    </x:row>
    <x:row r="20">
      <x:c r="A20" t="str">
        <x:v>VAL-MATW-003</x:v>
      </x:c>
      <x:c r="B20" t="str">
        <x:v>Materiaalwagen</x:v>
      </x:c>
      <x:c r="C20" t="str">
        <x:v>Eindafwerking</x:v>
      </x:c>
      <x:c r="D20" t="str">
        <x:v>Geen open profielkop zonder verbinding of afdekvlak</x:v>
      </x:c>
      <x:c r="E20" t="str">
        <x:v>Hoog</x:v>
      </x:c>
      <x:c r="F20" t="str">
        <x:v>Ja</x:v>
      </x:c>
      <x:c r="G20" t="str">
        <x:v>Onverklaard blootgesteld profieleinde</x:v>
      </x:c>
      <x:c r="H20" t="str">
        <x:v>Goedgekeurd</x:v>
      </x:c>
      <x:c r="I20" t="str">
        <x:v>Manifest + regressietest</x:v>
      </x:c>
      <x:c r="J20"/>
    </x:row>
    <x:row r="21">
      <x:c r="A21" t="str">
        <x:v>VAL-SIM-001</x:v>
      </x:c>
      <x:c r="B21" t="str">
        <x:v>Sim-rig 40x80</x:v>
      </x:c>
      <x:c r="C21" t="str">
        <x:v>Telcontract</x:v>
      </x:c>
      <x:c r="D21" t="str">
        <x:v>2 langsliggers, 3 basisdwarsliggers, 2 staanders, 1 stuurbrug, 3 pedaalprofielen en 6 custom platen</x:v>
      </x:c>
      <x:c r="E21" t="str">
        <x:v>Kritiek</x:v>
      </x:c>
      <x:c r="F21" t="str">
        <x:v>Ja</x:v>
      </x:c>
      <x:c r="G21" t="str">
        <x:v>Profiel- of plaattelling wijkt af van manifest</x:v>
      </x:c>
      <x:c r="H21" t="str">
        <x:v>Voorlopig</x:v>
      </x:c>
      <x:c r="I21" t="str">
        <x:v>SimRigEngine + regressietest</x:v>
      </x:c>
      <x:c r="J21"/>
    </x:row>
    <x:row r="22">
      <x:c r="A22" t="str">
        <x:v>VAL-SIM-002</x:v>
      </x:c>
      <x:c r="B22" t="str">
        <x:v>Sim-rig 40x80</x:v>
      </x:c>
      <x:c r="C22" t="str">
        <x:v>Profielorientatie</x:v>
      </x:c>
      <x:c r="D22" t="str">
        <x:v>Basis en pedaalprofielen Y=40; stuurbrug Y=80; staanders X=40/Z=80</x:v>
      </x:c>
      <x:c r="E22" t="str">
        <x:v>Kritiek</x:v>
      </x:c>
      <x:c r="F22" t="str">
        <x:v>Ja</x:v>
      </x:c>
      <x:c r="G22" t="str">
        <x:v>40x80-profiel staat op de verkeerde doorsnede-as</x:v>
      </x:c>
      <x:c r="H22" t="str">
        <x:v>Voorlopig</x:v>
      </x:c>
      <x:c r="I22" t="str">
        <x:v>Assemblyplaatsingen + regressietest</x:v>
      </x:c>
      <x:c r="J22"/>
    </x:row>
    <x:row r="23">
      <x:c r="A23" t="str">
        <x:v>VAL-SIM-003</x:v>
      </x:c>
      <x:c r="B23" t="str">
        <x:v>Sim-rig 40x80</x:v>
      </x:c>
      <x:c r="C23" t="str">
        <x:v>Custom plaatfunctie</x:v>
      </x:c>
      <x:c r="D23" t="str">
        <x:v>Iedere plaatfamilie heeft expliciete contour en minimaal twee functionele gaten/sleuven</x:v>
      </x:c>
      <x:c r="E23" t="str">
        <x:v>Kritiek</x:v>
      </x:c>
      <x:c r="F23" t="str">
        <x:v>Ja</x:v>
      </x:c>
      <x:c r="G23" t="str">
        <x:v>Custom plaat is alleen visueel of niet produceerbaar</x:v>
      </x:c>
      <x:c r="H23" t="str">
        <x:v>Voorlopig</x:v>
      </x:c>
      <x:c r="I23" t="str">
        <x:v>CNC-sheetmodel + regressietest</x:v>
      </x:c>
      <x:c r="J23"/>
    </x:row>
    <x:row r="24">
      <x:c r="A24" t="str">
        <x:v>VAL-SIM-004</x:v>
      </x:c>
      <x:c r="B24" t="str">
        <x:v>Sim-rig 40x80</x:v>
      </x:c>
      <x:c r="C24" t="str">
        <x:v>Proefbouw</x:v>
      </x:c>
      <x:c r="D24" t="str">
        <x:v>CSL-DD-passing, pedaalplaatbelasting en exacte profielserie zijn fysiek gecontroleerd</x:v>
      </x:c>
      <x:c r="E24" t="str">
        <x:v>Kritiek</x:v>
      </x:c>
      <x:c r="F24" t="str">
        <x:v>Ja</x:v>
      </x:c>
      <x:c r="G24" t="str">
        <x:v>Product nog niet vrijgegeven voor verkoop/serieproductie</x:v>
      </x:c>
      <x:c r="H24" t="str">
        <x:v>Open</x:v>
      </x:c>
      <x:c r="I24" t="str">
        <x:v>Proefbouw en meetrapport</x:v>
      </x:c>
      <x:c r="J24"/>
    </x:row>
  </x:sheetData>
  <x:mergeCells>
    <x:mergeCell ref="A1:I1"/>
    <x:mergeCell ref="A2:I2"/>
  </x:mergeCells>
  <x:conditionalFormatting sqref="H6:H100">
    <x:cfRule type="containsText" dxfId="30" priority="1" operator="containsText" text="Goedgekeurd"/>
    <x:cfRule type="containsText" dxfId="31" priority="2" operator="containsText" text="Voorlopig"/>
    <x:cfRule type="containsText" dxfId="32" priority="3" operator="containsText" text="Geblokkeerd"/>
    <x:cfRule type="containsText" dxfId="33" priority="4" operator="containsText" text="Open"/>
  </x:conditionalFormatting>
  <x:dataValidations count="2">
    <x:dataValidation type="list" sqref="H6:H100">
      <x:formula1>"Goedgekeurd,Voorlopig,Te controleren,Open,Geblokkeerd,Vervallen"</x:formula1>
    </x:dataValidation>
    <x:dataValidation type="list" sqref="F6:F100">
      <x:formula1>"Ja,Nee"</x:formula1>
    </x:dataValidation>
  </x:dataValidations>
  <x:pageMargins left="0.7" right="0.7" top="0.75" bottom="0.75" header="0.3" footer="0.3"/>
  <x:tableParts count="1">
    <x:tablePart xmlns:r="http://schemas.openxmlformats.org/officeDocument/2006/relationships" r:id="R45f9de1c479645e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36" hidden="0" customWidth="1"/>
    <x:col min="4" max="4" width="64" hidden="0" customWidth="1"/>
    <x:col min="5" max="5" width="16" hidden="0" customWidth="1"/>
    <x:col min="6" max="6" width="18" hidden="0" customWidth="1"/>
    <x:col min="7" max="7" width="30" hidden="0" customWidth="1"/>
    <x:col min="8" max="8" width="32" hidden="0" customWidth="1"/>
    <x:col min="9" max="9" width="34" hidden="0" customWidth="1"/>
  </x:cols>
  <x:sheetData>
    <x:row r="1" ht="28" customHeight="1">
      <x:c r="A1" s="2" t="str">
        <x:v>Openstaande funderingspunten</x:v>
      </x:c>
      <x:c r="B1" s="2"/>
      <x:c r="C1" s="2"/>
      <x:c r="D1" s="2"/>
      <x:c r="E1" s="2"/>
      <x:c r="F1" s="2"/>
      <x:c r="G1" s="2"/>
      <x:c r="H1" s="2"/>
      <x:c r="I1" s="2"/>
    </x:row>
    <x:row r="2" ht="34" customHeight="1">
      <x:c r="A2" s="5" t="str">
        <x:v>Gebruik dit als centrale backlog voor ontbrekende technische data, fysieke verificatie en beheerfunctionaliteit. Kritieke geblokkeerde punten mogen niet online of naar productie.</x:v>
      </x:c>
      <x:c r="B2" s="5"/>
      <x:c r="C2" s="5"/>
      <x:c r="D2" s="5"/>
      <x:c r="E2" s="5"/>
      <x:c r="F2" s="5"/>
      <x:c r="G2" s="5"/>
      <x:c r="H2" s="5"/>
      <x:c r="I2" s="5"/>
    </x:row>
    <x:row r="5" ht="32" customHeight="1">
      <x:c r="A5" s="10" t="str">
        <x:v>Punt-ID</x:v>
      </x:c>
      <x:c r="B5" s="11" t="str">
        <x:v>Domein</x:v>
      </x:c>
      <x:c r="C5" s="11" t="str">
        <x:v>Onderwerp</x:v>
      </x:c>
      <x:c r="D5" s="11" t="str">
        <x:v>Benodigde actie</x:v>
      </x:c>
      <x:c r="E5" s="11" t="str">
        <x:v>Prioriteit</x:v>
      </x:c>
      <x:c r="F5" s="11" t="str">
        <x:v>Status</x:v>
      </x:c>
      <x:c r="G5" s="11" t="str">
        <x:v>Scope</x:v>
      </x:c>
      <x:c r="H5" s="11" t="str">
        <x:v>Mijlpaal</x:v>
      </x:c>
      <x:c r="I5" s="12" t="str">
        <x:v>Benodigde bron/proef</x:v>
      </x:c>
    </x:row>
    <x:row r="6">
      <x:c r="A6" s="13" t="str">
        <x:v>TODO-001</x:v>
      </x:c>
      <x:c r="B6" s="13" t="str">
        <x:v>Bevestigingen</x:v>
      </x:c>
      <x:c r="C6" s="13" t="str">
        <x:v>Railbevestiging gedeeld tussenschot</x:v>
      </x:c>
      <x:c r="D6" s="13" t="str">
        <x:v>Afgerond: twee echte Ø4,2x9,5 plaatkopschroeven tegenover elkaar door beide 0,5 mm rails in exact 18 mm plaat fysiek getest; geen botsing</x:v>
      </x:c>
      <x:c r="E6" s="13" t="str">
        <x:v>Kritiek</x:v>
      </x:c>
      <x:c r="F6" s="13" t="str">
        <x:v>Goedgekeurd</x:v>
      </x:c>
      <x:c r="G6" s="13" t="str">
        <x:v>werkbankkast</x:v>
      </x:c>
      <x:c r="H6" s="13" t="str">
        <x:v>Vrijgegeven voor nieuwe freesexport met bovenladen</x:v>
      </x:c>
      <x:c r="I6" s="13" t="str">
        <x:v>Fysieke proef door Dylan; exacte maatsignatuur in hardwarebibliotheek vastgelegd</x:v>
      </x:c>
    </x:row>
    <x:row r="7">
      <x:c r="A7" s="14" t="str">
        <x:v>TODO-002</x:v>
      </x:c>
      <x:c r="B7" s="14" t="str">
        <x:v>CAM</x:v>
      </x:c>
      <x:c r="C7" s="14" t="str">
        <x:v>V-frees/souvereinen</x:v>
      </x:c>
      <x:c r="D7" s="14" t="str">
        <x:v>Voer afzonderlijke betonplexproeven uit voor Ø8×5mm verzinken en contourafschuining 1×1mm met 18.000rpm / 600mm/min / plunge 150mm/min / stap 1mm; leg resultaat vast</x:v>
      </x:c>
      <x:c r="E7" s="14" t="str">
        <x:v>Hoog</x:v>
      </x:c>
      <x:c r="F7" s="14" t="str">
        <x:v>Voorlopig</x:v>
      </x:c>
      <x:c r="G7" s="14" t="str">
        <x:v>werkbankkast / twee optionele V-freesbewerkingen</x:v>
      </x:c>
      <x:c r="H7" s="14" t="str">
        <x:v>Proefexport vrijgegeven; vóór productie-goedkeuring</x:v>
      </x:c>
      <x:c r="I7" s="14" t="str">
        <x:v>Werkelijke V-frees en proefstuk betonplex</x:v>
      </x:c>
    </x:row>
    <x:row r="8">
      <x:c r="A8" s="14" t="str">
        <x:v>TODO-003</x:v>
      </x:c>
      <x:c r="B8" s="14" t="str">
        <x:v>Aluminium</x:v>
      </x:c>
      <x:c r="C8" s="14" t="str">
        <x:v>Profielverbinderselectie</x:v>
      </x:c>
      <x:c r="D8" s="14" t="str">
        <x:v>Per profielserie voorkeursverbinder vastleggen: kopse draad, T-moer, hoek, anker of plaatadapter</x:v>
      </x:c>
      <x:c r="E8" s="14" t="str">
        <x:v>Kritiek</x:v>
      </x:c>
      <x:c r="F8" s="14" t="str">
        <x:v>Open</x:v>
      </x:c>
      <x:c r="G8" s="14" t="str">
        <x:v>werktafel;werktafel_lex</x:v>
      </x:c>
      <x:c r="H8" s="14" t="str">
        <x:v>Voor commerciële vrijgave</x:v>
      </x:c>
      <x:c r="I8" s="14" t="str">
        <x:v>Leverancier- en belastingdata</x:v>
      </x:c>
    </x:row>
    <x:row r="9">
      <x:c r="A9" s="14" t="str">
        <x:v>TODO-004</x:v>
      </x:c>
      <x:c r="B9" s="14" t="str">
        <x:v>Aluminium</x:v>
      </x:c>
      <x:c r="C9" s="14" t="str">
        <x:v>Boutlengtelogica</x:v>
      </x:c>
      <x:c r="D9" s="14" t="str">
        <x:v>Klempakket, draadgrip, ring, moer, borging en handelslengte modelleren</x:v>
      </x:c>
      <x:c r="E9" s="14" t="str">
        <x:v>Kritiek</x:v>
      </x:c>
      <x:c r="F9" s="14" t="str">
        <x:v>Open</x:v>
      </x:c>
      <x:c r="G9" s="14" t="str">
        <x:v>werktafel;werktafel_lex</x:v>
      </x:c>
      <x:c r="H9" s="14" t="str">
        <x:v>Voor automatische BOM</x:v>
      </x:c>
      <x:c r="I9" s="14" t="str">
        <x:v>Norm-/leveranciersdata</x:v>
      </x:c>
    </x:row>
    <x:row r="10">
      <x:c r="A10" s="14" t="str">
        <x:v>TODO-005</x:v>
      </x:c>
      <x:c r="B10" s="14" t="str">
        <x:v>Materialen</x:v>
      </x:c>
      <x:c r="C10" s="14" t="str">
        <x:v>Materiaalregels per familie</x:v>
      </x:c>
      <x:c r="D10" s="14" t="str">
        <x:v>Pilotgat, randafstand, splijtrisico en bewerkingsparameters voor OSB, multiplex, betonplex, HPL en kunststof</x:v>
      </x:c>
      <x:c r="E10" s="14" t="str">
        <x:v>Hoog</x:v>
      </x:c>
      <x:c r="F10" s="14" t="str">
        <x:v>Open</x:v>
      </x:c>
      <x:c r="G10" s="14" t="str">
        <x:v>Alle plaatproducten</x:v>
      </x:c>
      <x:c r="H10" s="14" t="str">
        <x:v>Voor generieke productuitbreiding</x:v>
      </x:c>
      <x:c r="I10" s="14" t="str">
        <x:v>Fysieke proeven</x:v>
      </x:c>
    </x:row>
    <x:row r="11">
      <x:c r="A11" s="14" t="str">
        <x:v>TODO-006</x:v>
      </x:c>
      <x:c r="B11" s="14" t="str">
        <x:v>Databeheer</x:v>
      </x:c>
      <x:c r="C11" s="14" t="str">
        <x:v>Componentversies</x:v>
      </x:c>
      <x:c r="D11" s="14" t="str">
        <x:v>Leverancier, artikelnummer, revisie, vervanger en verificatiestatus normaliseren</x:v>
      </x:c>
      <x:c r="E11" s="14" t="str">
        <x:v>Hoog</x:v>
      </x:c>
      <x:c r="F11" s="14" t="str">
        <x:v>Open</x:v>
      </x:c>
      <x:c r="G11" s="14" t="str">
        <x:v>Alle producten</x:v>
      </x:c>
      <x:c r="H11" s="14" t="str">
        <x:v>Voor beheeromgeving</x:v>
      </x:c>
      <x:c r="I11" s="14" t="str">
        <x:v>Inkoopdata</x:v>
      </x:c>
    </x:row>
    <x:row r="12">
      <x:c r="A12" s="14" t="str">
        <x:v>TODO-007</x:v>
      </x:c>
      <x:c r="B12" s="14" t="str">
        <x:v>Testen</x:v>
      </x:c>
      <x:c r="C12" s="14" t="str">
        <x:v>Regressietests bevestigingen</x:v>
      </x:c>
      <x:c r="D12" s="14" t="str">
        <x:v>Plaatdiktes 10/12/15/18/21, grenswaarden, kruisende assen en ontbrekende lengte testen</x:v>
      </x:c>
      <x:c r="E12" s="14" t="str">
        <x:v>Hoog</x:v>
      </x:c>
      <x:c r="F12" s="14" t="str">
        <x:v>Open</x:v>
      </x:c>
      <x:c r="G12" s="14" t="str">
        <x:v>Alle producten</x:v>
      </x:c>
      <x:c r="H12" s="14" t="str">
        <x:v>Voor uitbreiden catalogus</x:v>
      </x:c>
      <x:c r="I12" s="14" t="str">
        <x:v>Testmatrix</x:v>
      </x:c>
    </x:row>
    <x:row r="13">
      <x:c r="A13" s="14" t="str">
        <x:v>TODO-008</x:v>
      </x:c>
      <x:c r="B13" s="14" t="str">
        <x:v>Governance</x:v>
      </x:c>
      <x:c r="C13" s="14" t="str">
        <x:v>Publicatieflow</x:v>
      </x:c>
      <x:c r="D13" s="14" t="str">
        <x:v>Concept -&gt; technisch gecontroleerd -&gt; proefstuk -&gt; productie-goedgekeurd -&gt; online</x:v>
      </x:c>
      <x:c r="E13" s="14" t="str">
        <x:v>Kritiek</x:v>
      </x:c>
      <x:c r="F13" s="14" t="str">
        <x:v>Open</x:v>
      </x:c>
      <x:c r="G13" s="14" t="str">
        <x:v>Alle producten</x:v>
      </x:c>
      <x:c r="H13" s="14" t="str">
        <x:v>Voor online producten</x:v>
      </x:c>
      <x:c r="I13" s="14" t="str">
        <x:v>Rollen en goedkeurders</x:v>
      </x:c>
    </x:row>
    <x:row r="14">
      <x:c r="A14" s="15" t="str">
        <x:v>TODO-009</x:v>
      </x:c>
      <x:c r="B14" s="15" t="str">
        <x:v>Migratie</x:v>
      </x:c>
      <x:c r="C14" s="15" t="str">
        <x:v>Excel-importcontract</x:v>
      </x:c>
      <x:c r="D14" s="15" t="str">
        <x:v>Kolommen/ID's vastzetten en later import/export naar beheeromgeving maken</x:v>
      </x:c>
      <x:c r="E14" s="15" t="str">
        <x:v>Midden</x:v>
      </x:c>
      <x:c r="F14" s="15" t="str">
        <x:v>Open</x:v>
      </x:c>
      <x:c r="G14" s="15" t="str">
        <x:v>Alle registers</x:v>
      </x:c>
      <x:c r="H14" s="15" t="str">
        <x:v>Na stabilisatie v0.1</x:v>
      </x:c>
      <x:c r="I14" s="15" t="str">
        <x:v>Beheer-API ontwerp</x:v>
      </x:c>
    </x:row>
    <x:row r="15">
      <x:c r="A15" t="str">
        <x:v>TODO-SBX-001</x:v>
      </x:c>
      <x:c r="B15" t="str">
        <x:v>Beslag</x:v>
      </x:c>
      <x:c r="C15" t="str">
        <x:v>Liangyue LY103-12 sample en maatblad</x:v>
      </x:c>
      <x:c r="D15" t="str">
        <x:v>Bestel 5–10 samples en vraag materiaalcertificaat, 2D-tekening en toegestane plaatdiktes op</x:v>
      </x:c>
      <x:c r="E15" t="str">
        <x:v>Kritiek</x:v>
      </x:c>
      <x:c r="F15" t="str">
        <x:v>Open</x:v>
      </x:c>
      <x:c r="G15" t="str">
        <x:v>shipping_box</x:v>
      </x:c>
      <x:c r="H15" t="str">
        <x:v>Voor CNC-productievrijgave</x:v>
      </x:c>
      <x:c r="I15" t="str">
        <x:v>Liangyue sample + leveranciersantwoord</x:v>
      </x:c>
    </x:row>
    <x:row r="16">
      <x:c r="A16" t="str">
        <x:v>TODO-SBX-002</x:v>
      </x:c>
      <x:c r="B16" t="str">
        <x:v>CNC</x:v>
      </x:c>
      <x:c r="C16" t="str">
        <x:v>Clipsleuf en randafstand</x:v>
      </x:c>
      <x:c r="D16" t="str">
        <x:v>Meet haakbreedte en vrije veerhoek; frees een matrix met varianten in sleuflengte, -breedte en randafstand</x:v>
      </x:c>
      <x:c r="E16" t="str">
        <x:v>Kritiek</x:v>
      </x:c>
      <x:c r="F16" t="str">
        <x:v>Open</x:v>
      </x:c>
      <x:c r="G16" t="str">
        <x:v>shipping_box</x:v>
      </x:c>
      <x:c r="H16" t="str">
        <x:v>Voor eerste complete proefkist</x:v>
      </x:c>
      <x:c r="I16" t="str">
        <x:v>OSB 18 proefstrook en fysieke clip</x:v>
      </x:c>
    </x:row>
    <x:row r="17">
      <x:c r="A17" t="str">
        <x:v>TODO-SBX-003</x:v>
      </x:c>
      <x:c r="B17" t="str">
        <x:v>Constructie</x:v>
      </x:c>
      <x:c r="C17" t="str">
        <x:v>Clipafstand en nettolading</x:v>
      </x:c>
      <x:c r="D17" t="str">
        <x:v>Voer montage-, uittrek-, val-, tril- en stapelproeven uit; bepaal clipafstand per maat- en gewichtsklasse</x:v>
      </x:c>
      <x:c r="E17" t="str">
        <x:v>Kritiek</x:v>
      </x:c>
      <x:c r="F17" t="str">
        <x:v>Open</x:v>
      </x:c>
      <x:c r="G17" t="str">
        <x:v>shipping_box</x:v>
      </x:c>
      <x:c r="H17" t="str">
        <x:v>Voor verkoop/productie</x:v>
      </x:c>
      <x:c r="I17" t="str">
        <x:v>Belastingspecificatie en transporttest</x:v>
      </x:c>
    </x:row>
    <x:row r="18">
      <x:c r="A18" t="str">
        <x:v>TODO-SBX-004</x:v>
      </x:c>
      <x:c r="B18" t="str">
        <x:v>Handling</x:v>
      </x:c>
      <x:c r="C18" t="str">
        <x:v>Optionele handgreep</x:v>
      </x:c>
      <x:c r="D18" t="str">
        <x:v>Bepaal vorm/radius, ergonomie en reststerkte in OSB 18 mm; stel een maximale nettolading vast</x:v>
      </x:c>
      <x:c r="E18" t="str">
        <x:v>Hoog</x:v>
      </x:c>
      <x:c r="F18" t="str">
        <x:v>Open</x:v>
      </x:c>
      <x:c r="G18" t="str">
        <x:v>shipping_box</x:v>
      </x:c>
      <x:c r="H18" t="str">
        <x:v>Voor vrijgave handgreepoptie</x:v>
      </x:c>
      <x:c r="I18" t="str">
        <x:v>Fysieke draagproef</x:v>
      </x:c>
    </x:row>
    <x:row r="19">
      <x:c r="A19" t="str">
        <x:v>TODO-SBX-005</x:v>
      </x:c>
      <x:c r="B19" t="str">
        <x:v>Logistiek</x:v>
      </x:c>
      <x:c r="C19" t="str">
        <x:v>Pallet, vocht en export</x:v>
      </x:c>
      <x:c r="D19" t="str">
        <x:v>Kies los/integrale skid of vierwegpallet; leg vochtbarrière en ISPM 15-regel vast indien massief hout wordt gebruikt</x:v>
      </x:c>
      <x:c r="E19" t="str">
        <x:v>Hoog</x:v>
      </x:c>
      <x:c r="F19" t="str">
        <x:v>Open</x:v>
      </x:c>
      <x:c r="G19" t="str">
        <x:v>shipping_box</x:v>
      </x:c>
      <x:c r="H19" t="str">
        <x:v>Voor transportofferte</x:v>
      </x:c>
      <x:c r="I19" t="str">
        <x:v>Logistieke eisen en klantbestemming</x:v>
      </x:c>
    </x:row>
  </x:sheetData>
  <x:mergeCells>
    <x:mergeCell ref="A1:I1"/>
    <x:mergeCell ref="A2:I2"/>
  </x:mergeCells>
  <x:conditionalFormatting sqref="F6:F100">
    <x:cfRule type="containsText" dxfId="34" priority="1" operator="containsText" text="Goedgekeurd"/>
    <x:cfRule type="containsText" dxfId="35" priority="2" operator="containsText" text="Voorlopig"/>
    <x:cfRule type="containsText" dxfId="36" priority="3" operator="containsText" text="Geblokkeerd"/>
    <x:cfRule type="containsText" dxfId="37" priority="4" operator="containsText" text="Open"/>
  </x:conditionalFormatting>
  <x:dataValidations count="2">
    <x:dataValidation type="list" sqref="F6:F100">
      <x:formula1>"Goedgekeurd,Voorlopig,Te controleren,Open,Geblokkeerd,Vervallen"</x:formula1>
    </x:dataValidation>
    <x:dataValidation type="list" sqref="E6:E100">
      <x:formula1>"Kritiek,Hoog,Midden,Laag"</x:formula1>
    </x:dataValidation>
  </x:dataValidations>
  <x:pageMargins left="0.7" right="0.7" top="0.75" bottom="0.75" header="0.3" footer="0.3"/>
  <x:tableParts count="1">
    <x:tablePart xmlns:r="http://schemas.openxmlformats.org/officeDocument/2006/relationships" r:id="R5170d3811716433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2" hidden="0" customWidth="1"/>
    <x:col min="4" max="4" width="10" hidden="0" customWidth="1"/>
    <x:col min="5" max="5" width="28" hidden="0" customWidth="1"/>
    <x:col min="6" max="6" width="58" hidden="0" customWidth="1"/>
    <x:col min="7" max="7" width="28" hidden="0" customWidth="1"/>
    <x:col min="8" max="8" width="40" hidden="0" customWidth="1"/>
  </x:cols>
  <x:sheetData>
    <x:row r="1" ht="28" customHeight="1">
      <x:c r="A1" s="2" t="str">
        <x:v>Wijzigingslog en besluiten</x:v>
      </x:c>
      <x:c r="B1" s="2"/>
      <x:c r="C1" s="2"/>
      <x:c r="D1" s="2"/>
      <x:c r="E1" s="2"/>
      <x:c r="F1" s="2"/>
      <x:c r="G1" s="2"/>
      <x:c r="H1" s="2"/>
    </x:row>
    <x:row r="2" ht="34" customHeight="1">
      <x:c r="A2" s="5" t="str">
        <x:v>Iedere wijziging aan een productie- of verkoopregel krijgt een revisieregel. Oude projecten moeten hun gebruikte versie kunnen blijven reproduceren.</x:v>
      </x:c>
      <x:c r="B2" s="5"/>
      <x:c r="C2" s="5"/>
      <x:c r="D2" s="5"/>
      <x:c r="E2" s="5"/>
      <x:c r="F2" s="5"/>
      <x:c r="G2" s="5"/>
      <x:c r="H2" s="5"/>
    </x:row>
    <x:row r="5" ht="32" customHeight="1">
      <x:c r="A5" s="10" t="str">
        <x:v>Wijziging-ID</x:v>
      </x:c>
      <x:c r="B5" s="11" t="str">
        <x:v>Datum</x:v>
      </x:c>
      <x:c r="C5" s="11" t="str">
        <x:v>Auteur</x:v>
      </x:c>
      <x:c r="D5" s="11" t="str">
        <x:v>Versie</x:v>
      </x:c>
      <x:c r="E5" s="11" t="str">
        <x:v>Onderwerp</x:v>
      </x:c>
      <x:c r="F5" s="11" t="str">
        <x:v>Besluit/wijziging</x:v>
      </x:c>
      <x:c r="G5" s="11" t="str">
        <x:v>Betreft ID</x:v>
      </x:c>
      <x:c r="H5" s="12" t="str">
        <x:v>Opmerking</x:v>
      </x:c>
    </x:row>
    <x:row r="6">
      <x:c r="A6" s="13" t="str">
        <x:v>CHG-0001</x:v>
      </x:c>
      <x:c r="B6" s="16" t="n">
        <x:v>46252</x:v>
      </x:c>
      <x:c r="C6" s="13" t="str">
        <x:v>Dylan / Codex</x:v>
      </x:c>
      <x:c r="D6" s="13" t="str">
        <x:v>0.1</x:v>
      </x:c>
      <x:c r="E6" s="13" t="str">
        <x:v>Initiële fundering</x:v>
      </x:c>
      <x:c r="F6" s="13" t="str">
        <x:v>Gescheiden registers voor materialen, componenten, recepten, categorieën, producten en controles</x:v>
      </x:c>
      <x:c r="G6" s="13" t="str">
        <x:v>Alle</x:v>
      </x:c>
      <x:c r="H6" s="13" t="str">
        <x:v>Concept voor verdere verificatie</x:v>
      </x:c>
    </x:row>
    <x:row r="7">
      <x:c r="A7" s="14" t="str">
        <x:v>CHG-0002</x:v>
      </x:c>
      <x:c r="B7" s="17" t="n">
        <x:v>46252</x:v>
      </x:c>
      <x:c r="C7" s="14" t="str">
        <x:v>Dylan / Codex</x:v>
      </x:c>
      <x:c r="D7" s="14" t="str">
        <x:v>0.1</x:v>
      </x:c>
      <x:c r="E7" s="14" t="str">
        <x:v>Houtschroefmarge</x:v>
      </x:c>
      <x:c r="F7" s="14" t="str">
        <x:v>Minimaal restmateriaal verhoogd van 1 naar 2 mm</x:v>
      </x:c>
      <x:c r="G7" s="14" t="str">
        <x:v>CON_WOOD_FACE</x:v>
      </x:c>
      <x:c r="H7" s="14" t="str">
        <x:v>In app verwerkt</x:v>
      </x:c>
    </x:row>
    <x:row r="8">
      <x:c r="A8" s="15" t="str">
        <x:v>CHG-0003</x:v>
      </x:c>
      <x:c r="B8" s="18" t="n">
        <x:v>46252</x:v>
      </x:c>
      <x:c r="C8" s="15" t="str">
        <x:v>Dylan / Codex</x:v>
      </x:c>
      <x:c r="D8" s="15" t="str">
        <x:v>0.1</x:v>
      </x:c>
      <x:c r="E8" s="15" t="str">
        <x:v>Railschroefbotsing</x:v>
      </x:c>
      <x:c r="F8" s="15" t="str">
        <x:v>Gedeelde 4x16-posities in 18 mm tussenschot blokkeren export</x:v>
      </x:c>
      <x:c r="G8" s="15" t="str">
        <x:v>PRD-WBK-005</x:v>
      </x:c>
      <x:c r="H8" s="15" t="str">
        <x:v>Oplossingsrecept nog kiezen</x:v>
      </x:c>
    </x:row>
    <x:row r="9">
      <x:c r="A9" t="str">
        <x:v>CHG-0004</x:v>
      </x:c>
      <x:c r="B9" s="64" t="n">
        <x:v>46252</x:v>
      </x:c>
      <x:c r="C9" t="str">
        <x:v>Dylan / Codex</x:v>
      </x:c>
      <x:c r="D9" t="str">
        <x:v>0.2</x:v>
      </x:c>
      <x:c r="E9" t="str">
        <x:v>Leidend prijs- en inkoopregister</x:v>
      </x:c>
      <x:c r="F9" t="str">
        <x:v>pricing-estimates.csv opgenomen; leverancier en leveranciersartikelcode toegevoegd; werkmap naar config</x:v>
      </x:c>
      <x:c r="G9" t="str">
        <x:v>Prijs &amp; inkoop</x:v>
      </x:c>
      <x:c r="H9" t="str">
        <x:v>CSV blijft alleen compatibiliteitsfallback</x:v>
      </x:c>
    </x:row>
    <x:row r="10" ht="54" customHeight="1">
      <x:c r="A10" s="70" t="str">
        <x:v>CHG-0005</x:v>
      </x:c>
      <x:c r="B10" s="71" t="n">
        <x:v>46252</x:v>
      </x:c>
      <x:c r="C10" s="70" t="str">
        <x:v>Dylan / Codex</x:v>
      </x:c>
      <x:c r="D10" s="70" t="str">
        <x:v>0.3</x:v>
      </x:c>
      <x:c r="E10" s="70" t="str">
        <x:v>Railschroef exact vastgelegd</x:v>
      </x:c>
      <x:c r="F10" s="70" t="str">
        <x:v>Railbevestiging gecorrigeerd naar Ø4,2x9,5 plaatkop met 0,5 mm railmateriaalweg; nominale tipruimte in 18 mm T-tussenschot is 0,0 mm</x:v>
      </x:c>
      <x:c r="G10" s="70" t="str">
        <x:v>measured_500;CON_DRAWER_RAIL_WOOD;PRD-WBK-005;VAL-RAIL-001;TODO-001</x:v>
      </x:c>
      <x:c r="H10" s="70" t="str">
        <x:v>Gatpatroon blijft ongewijzigd; fysieke nulmargecontrole blijft productieblokkade</x:v>
      </x:c>
    </x:row>
    <x:row r="11" ht="54" customHeight="1">
      <x:c r="A11" s="76" t="str">
        <x:v>CHG-0006</x:v>
      </x:c>
      <x:c r="B11" s="77" t="n">
        <x:v>46252</x:v>
      </x:c>
      <x:c r="C11" s="76" t="str">
        <x:v>Dylan / Codex</x:v>
      </x:c>
      <x:c r="D11" s="76" t="str">
        <x:v>0.4</x:v>
      </x:c>
      <x:c r="E11" s="76" t="str">
        <x:v>Fysieke werkbankvrijgaven</x:v>
      </x:c>
      <x:c r="F11" s="76" t="str">
        <x:v>Ø4,2x9,5 railbevestiging bij 0 mm nominale marge en volledige plintclipadapter V2 fysiek goedgekeurd</x:v>
      </x:c>
      <x:c r="G11" s="76" t="str">
        <x:v>measured_500;PRD-WBK-005;VAL-RAIL-001;TODO-001;custom_sektion_plinth_clip_adapter_v2</x:v>
      </x:c>
      <x:c r="H11" s="76" t="str">
        <x:v>Vrijgave is gekoppeld aan exacte rail-/schroef-/plaatmaten; toekomstige kortere schroef wordt een nieuwe variant</x:v>
      </x:c>
    </x:row>
    <x:row r="12" ht="54" customHeight="1">
      <x:c r="A12" s="100" t="str">
        <x:v>CHG-0007</x:v>
      </x:c>
      <x:c r="B12" s="101" t="n">
        <x:v>46252</x:v>
      </x:c>
      <x:c r="C12" s="100" t="str">
        <x:v>Dylan / Codex</x:v>
      </x:c>
      <x:c r="D12" s="100" t="str">
        <x:v>0.5</x:v>
      </x:c>
      <x:c r="E12" s="100" t="str">
        <x:v>Ontvangende pilotgatmaten gecentraliseerd</x:v>
      </x:c>
      <x:c r="F12" s="100" t="str">
        <x:v>Componentmaster uitgebreid met aparte numerieke pilotgatdiameters voor kastzijde en ladezijde; measured_500 is voor beide Ø3 mm</x:v>
      </x:c>
      <x:c r="G12" s="100" t="str">
        <x:v>measured_500;CabinetHoleDiameterMm;DrawerHoleDiameterMm;VAL-RAIL-001</x:v>
      </x:c>
      <x:c r="H12" s="100" t="str">
        <x:v>Engine en audit gebruiken de opgeslagen waarden rechtstreeks; geen hardcoded Ø3-terugval meer</x:v>
      </x:c>
    </x:row>
    <x:row r="13" ht="54" customHeight="1">
      <x:c r="A13" s="106" t="str">
        <x:v>CHG-0008</x:v>
      </x:c>
      <x:c r="B13" s="107" t="n">
        <x:v>46252</x:v>
      </x:c>
      <x:c r="C13" s="106" t="str">
        <x:v>Dylan / Codex</x:v>
      </x:c>
      <x:c r="D13" s="106" t="str">
        <x:v>0.6</x:v>
      </x:c>
      <x:c r="E13" s="106" t="str">
        <x:v>Pilotgat voor alle houtschroeven</x:v>
      </x:c>
      <x:c r="F13" s="106" t="str">
        <x:v>Algemene houtschroeffamilie WOODSCREW_4 krijgt Ø3 mm als gewenst ontvangend pilotgat voor alle handelslengtes; Ø4 blijft uitsluitend doorvoergat</x:v>
      </x:c>
      <x:c r="G13" s="106" t="str">
        <x:v>WOODSCREW_4;CON_WOOD_EDGE;CON_WOOD_FACE;ReceivingPilotHoleDiameterMm</x:v>
      </x:c>
      <x:c r="H13" s="106" t="str">
        <x:v>Railbevestiger blijft afzonderlijk Ø3; uitvoering mag per product CNC of handmatig zijn</x:v>
      </x:c>
    </x:row>
    <x:row r="14" ht="54" customHeight="1">
      <x:c r="A14" s="299" t="str">
        <x:v>CHG-0009</x:v>
      </x:c>
      <x:c r="B14" s="300" t="n">
        <x:v>46252</x:v>
      </x:c>
      <x:c r="C14" s="299" t="str">
        <x:v>Dylan / Codex</x:v>
      </x:c>
      <x:c r="D14" s="299" t="str">
        <x:v>0.7</x:v>
      </x:c>
      <x:c r="E14" s="299" t="str">
        <x:v>Gereedschapsregister toegevoegd</x:v>
      </x:c>
      <x:c r="F14" s="299" t="str">
        <x:v>Bestaande frezen uit tools.json en geblokkeerde V-frees met twee expliciete bewerkingsregels centraal opgenomen</x:v>
      </x:c>
      <x:c r="G14" s="299" t="str">
        <x:v>Gereedschappen;PRD-WBK-006;VAL-CAM-001;TODO-002</x:v>
      </x:c>
      <x:c r="H14" s="299" t="str">
        <x:v>V-frees blijft geblokkeerd totdat werkelijke geometrie, CAM-waarden en proefresultaat zijn ingevuld</x:v>
      </x:c>
    </x:row>
    <x:row r="15" ht="68" customHeight="1">
      <x:c r="A15" s="301" t="str">
        <x:v>CHG-0010</x:v>
      </x:c>
      <x:c r="B15" s="302" t="n">
        <x:v>46252</x:v>
      </x:c>
      <x:c r="C15" s="301" t="str">
        <x:v>Dylan / Codex</x:v>
      </x:c>
      <x:c r="D15" s="301" t="str">
        <x:v>0.8</x:v>
      </x:c>
      <x:c r="E15" s="301" t="str">
        <x:v>V-freesgeometrie en proefwaarden ingevuld</x:v>
      </x:c>
      <x:c r="F15" s="301" t="str">
        <x:v>90°; Ø8; punt Ø0; schacht Ø6,35; conus 4mm; cilindrisch snijdeel 4,5mm; totale snijlengte formule 8,5mm; verzinken 5mm; contour 1×1mm; proefstart 18.000rpm, 600/150mm/min en stap 1mm</x:v>
      </x:c>
      <x:c r="G15" s="301" t="str">
        <x:v>Gereedschappen;CAM-V-001;CAM-V-002;VAL-CAM-001;TODO-002</x:v>
      </x:c>
      <x:c r="H15" s="301" t="str">
        <x:v>Vrijgave blijft geblokkeerd tot snijkanten/draairichting zijn bevestigd en betonplex-proef slaagt</x:v>
      </x:c>
    </x:row>
    <x:row r="16" ht="74" customHeight="1">
      <x:c r="A16" s="299" t="str">
        <x:v>CHG-0011</x:v>
      </x:c>
      <x:c r="B16" s="300" t="n">
        <x:v>46252</x:v>
      </x:c>
      <x:c r="C16" s="299" t="str">
        <x:v>Dylan / Codex</x:v>
      </x:c>
      <x:c r="D16" s="299" t="str">
        <x:v>0.9</x:v>
      </x:c>
      <x:c r="E16" s="299" t="str">
        <x:v>V-frees proefexport en losse opties vrijgegeven</x:v>
      </x:c>
      <x:c r="F16" s="299" t="str">
        <x:v>2 snijders en rechtsdraaiend bevestigd; portal gesplitst in onafhankelijk verzinken en contourafschuinen; per-deel en geneste G-code gebruiken S18000, F600, plunge F150, stap 1mm, Z-5mm en Z-1mm</x:v>
      </x:c>
      <x:c r="G16" s="299" t="str">
        <x:v>vbit_90deg_8mm_shank_6_35;CAM-V-001;CAM-V-002;PRD-WBK-006;VAL-CAM-001;TODO-002</x:v>
      </x:c>
      <x:c r="H16" s="299" t="str">
        <x:v>Automatische proefexport geslaagd voor alleen verzinken, alleen contour en beide samen; fysieke betonplexproef blijft vereist voor productie-goedkeuring</x:v>
      </x:c>
    </x:row>
    <x:row r="17" ht="72" customHeight="1">
      <x:c r="A17" s="372" t="str">
        <x:v>CHG-0012</x:v>
      </x:c>
      <x:c r="B17" s="373" t="n">
        <x:v>46252</x:v>
      </x:c>
      <x:c r="C17" s="372" t="str">
        <x:v>Dylan / Codex</x:v>
      </x:c>
      <x:c r="D17" s="372" t="str">
        <x:v>1.0</x:v>
      </x:c>
      <x:c r="E17" s="372" t="str">
        <x:v>Centrale doorsteekwaarde vastgelegd</x:v>
      </x:c>
      <x:c r="F17" s="372" t="str">
        <x:v>1,0 mm doorsteek verplicht voor alle door-en-doorbewerkingen: buitencontouren, gaten en pockets/sleuven; blinde bewerkingen blijven op opgegeven diepte. Tabwaarden 8,0 × 1,5 mm apart vastgelegd.</x:v>
      </x:c>
      <x:c r="G17" s="372" t="str">
        <x:v>CAM-PAR-001;CAM-PAR-002;CAM-PAR-003</x:v>
      </x:c>
      <x:c r="H17" s="372" t="str">
        <x:v>Masterwaarden worden rechtstreeks door losse en geneste Mach3-export gebruikt</x:v>
      </x:c>
    </x:row>
    <x:row r="18">
      <x:c r="A18" t="str">
        <x:v>CHG-0013</x:v>
      </x:c>
      <x:c r="B18" s="64" t="n">
        <x:v>46253</x:v>
      </x:c>
      <x:c r="C18" t="str">
        <x:v>Dylan / Codex</x:v>
      </x:c>
      <x:c r="D18" t="str">
        <x:v>1.1</x:v>
      </x:c>
      <x:c r="E18" t="str">
        <x:v>Fysieke testplaat-1 revisies</x:v>
      </x:c>
      <x:c r="F18" t="str">
        <x:v>Scharnier deurzijde +2 mm; montageplaat kastzijde 7 mm naar voren; ladezijderail +3 mm vanwege frontinsteek; ladefrontrabatten +3 mm hoger; handgreep met 2 mm voorpocket en 8×2 mm tabs max. 70 mm.</x:v>
      </x:c>
      <x:c r="G18" t="str">
        <x:v>komplement_hinge_r2;measured_500_r2;PRD-WBK-007..011;CAM-PAR-004..007</x:v>
      </x:c>
      <x:c r="H18" t="str">
        <x:v>Alle wijzigingen eerst opnieuw beproeven op plaat 2; kastrailgaten en plaat 1 blijven ongewijzigd.</x:v>
      </x:c>
    </x:row>
    <x:row r="19">
      <x:c r="A19" t="str">
        <x:v>CHG-0014</x:v>
      </x:c>
      <x:c r="B19" s="64" t="n">
        <x:v>46254</x:v>
      </x:c>
      <x:c r="C19" t="str">
        <x:v>Dylan / Codex</x:v>
      </x:c>
      <x:c r="D19" t="str">
        <x:v>1.2</x:v>
      </x:c>
      <x:c r="E19" t="str">
        <x:v>CAM-veiligheidsstrategie na plaatincident</x:v>
      </x:c>
      <x:c r="F19" t="str">
        <x:v>Eén veilige Z+15 voor peck en transport; exportblok op lage G0-XY; contouren eerst tot 1 mm onion-skin, daarna M0-waarschuwing en bewaakte ramp-eindlaag tot Z-19 op F1600; 6 mm frees naar S20500; risicodelen 10x1 mm tabs.</x:v>
      </x:c>
      <x:c r="G19" t="str">
        <x:v>CAM-PAR-002;CAM-PAR-003;CAM-PAR-008..011;endmill_6mm</x:v>
      </x:c>
      <x:c r="H19" t="str">
        <x:v>Oude TAP-bestanden platen 3-5 niet gebruiken; opnieuw genereren en G-codecontrole verplicht.</x:v>
      </x:c>
    </x:row>
    <x:row r="20">
      <x:c r="A20" t="str">
        <x:v>CHG-0015</x:v>
      </x:c>
      <x:c r="B20" s="64" t="n">
        <x:v>46254</x:v>
      </x:c>
      <x:c r="C20" t="str">
        <x:v>Dylan / Codex</x:v>
      </x:c>
      <x:c r="D20" t="str">
        <x:v>1.3</x:v>
      </x:c>
      <x:c r="E20" t="str">
        <x:v>Contourdieptes expliciet plaatdikte-afhankelijk</x:v>
      </x:c>
      <x:c r="F20" t="str">
        <x:v>Voorlaag-Z = -(plaatdikte - onion-skin); eindlaag-Z = -(plaatdikte + doorsteek). Z-17/Z-19 zijn uitsluitend voorbeelden voor 18 mm plaat en nooit vaste CAM-dieptes.</x:v>
      </x:c>
      <x:c r="G20" t="str">
        <x:v>CAM-PAR-001;CAM-PAR-009;CAM-PAR-011</x:v>
      </x:c>
      <x:c r="H20" t="str">
        <x:v>Generator gebruikt de materiaaldikte van ieder afzonderlijk plaatdeel; gemengde materiaaldiktes worden daardoor per contour correct berekend.</x:v>
      </x:c>
    </x:row>
    <x:row r="21">
      <x:c r="A21" t="str">
        <x:v>CHG-0016</x:v>
      </x:c>
      <x:c r="B21" s="64" t="n">
        <x:v>46256</x:v>
      </x:c>
      <x:c r="C21" t="str">
        <x:v>Dylan / Codex</x:v>
      </x:c>
      <x:c r="D21" t="str">
        <x:v>1.4</x:v>
      </x:c>
      <x:c r="E21" t="str">
        <x:v>Robotcel en centrale leveranciersarchitectuur</x:v>
      </x:c>
      <x:c r="F21" t="str">
        <x:v>Robotcel toegevoegd; TechXXL-artikelen, bronafbeeldingen en categoriebrede leveranciersvoorkeuren zijn productonafhankelijk vastgelegd</x:v>
      </x:c>
      <x:c r="G21" t="str">
        <x:v>robotcel;SUP-TECHXXL;alu_system_80x40;alu_system_80x80;alu_system_160x40;techxxl_*</x:v>
      </x:c>
      <x:c r="H21" t="str">
        <x:v>Voorkeursrang geldt voor alle bestaande en toekomstige producten; alternatieve leveranciers kunnen met rang 2+ worden toegevoegd</x:v>
      </x:c>
    </x:row>
    <x:row r="22">
      <x:c r="A22" t="str">
        <x:v>CHG-0017</x:v>
      </x:c>
      <x:c r="B22" s="64" t="n">
        <x:v>46256</x:v>
      </x:c>
      <x:c r="C22" t="str">
        <x:v>Dylan / Codex</x:v>
      </x:c>
      <x:c r="D22" t="str">
        <x:v>1.5</x:v>
      </x:c>
      <x:c r="E22" t="str">
        <x:v>Robotcel bouwlaag-, moduulbaan- en eindkapcorrectie</x:v>
      </x:c>
      <x:c r="F22" t="str">
        <x:v>Onderlaag vastgezet op 4 vlakke omtrekliggers plus 1 vlakke dwarsligger; 40x80-op-80x80 krijgt discrete T-slotbanen; groef-8 160x40-achterrail en twee passende zwarte afdekkappen opgenomen</x:v>
      </x:c>
      <x:c r="G22" t="str">
        <x:v>PRD-RBC-003;PRD-RBC-007..009;alu_system_160x40;techxxl_end_cap_8_160x40_black</x:v>
      </x:c>
      <x:c r="H22" t="str">
        <x:v>De eerdere tekst over een vereiste 20-mm offset is ingetrokken: ±20 mm zijn de twee baanharten; de keuzen verschillen 40 mm en centrum 0 is verboden</x:v>
      </x:c>
    </x:row>
    <x:row r="23">
      <x:c r="A23" t="str">
        <x:v>CHG-0018</x:v>
      </x:c>
      <x:c r="B23" s="64" t="n">
        <x:v>46256</x:v>
      </x:c>
      <x:c r="C23" t="str">
        <x:v>Dylan / Codex</x:v>
      </x:c>
      <x:c r="D23" t="str">
        <x:v>1.6</x:v>
      </x:c>
      <x:c r="E23" t="str">
        <x:v>Robotcel onderlaag 40x80 staand</x:v>
      </x:c>
      <x:c r="F23" t="str">
        <x:v>Onderste profielaag gecorrigeerd van vlak naar staand: vier omtrekliggers en exact één dwarsligger met 80 mm verticale en 40 mm dwarse maat. Model, bouwlaagmanifest, regressiecontrole en profielassemblage-skill zijn aan dezelfde numerieke oriëntatieregel gekoppeld.</x:v>
      </x:c>
      <x:c r="G23" t="str">
        <x:v>PRD-RBC-007;RobotCellEngine.cs;robot-cell-assembly-manifest.json;detect-profile-assembly skill</x:v>
      </x:c>
      <x:c r="H23" t="str">
        <x:v>De voorgaande vlakke oriëntatie in CHG-0017 was onjuist en wordt door deze wijziging vervangen; aantallen 4+1 blijven gelijk.</x:v>
      </x:c>
    </x:row>
    <x:row r="24">
      <x:c r="A24" t="str">
        <x:v>CHG-0019</x:v>
      </x:c>
      <x:c r="B24" s="64" t="n">
        <x:v>46256</x:v>
      </x:c>
      <x:c r="C24" t="str">
        <x:v>Dylan / Codex</x:v>
      </x:c>
      <x:c r="D24" t="str">
        <x:v>1.7</x:v>
      </x:c>
      <x:c r="E24" t="str">
        <x:v>Shipping box en Liangyue proefstukdata</x:v>
      </x:c>
      <x:c r="F24" t="str">
        <x:v>Parametrische clipkist toegevoegd op binnenmaten; OSB 18 standaard; SnapCrate paneelopbouw; Liangyue LY103-12 als kandidaatleverancier; kritieke sleuf-, afstands- en belastingregels geblokkeerd tot fysieke proef</x:v>
      </x:c>
      <x:c r="G24" t="str">
        <x:v>shipping_box;SUP-LIANGYUE;liangyue_ly103_12_candidate;PRD-SBX-001..009;TODO-SBX-001..005</x:v>
      </x:c>
      <x:c r="H24" t="str">
        <x:v>C058-maten zijn alleen een tijdelijke schaalreferentie; Liangyue blijft de geselecteerde leverancier</x:v>
      </x:c>
    </x:row>
    <x:row r="25">
      <x:c r="A25" t="str">
        <x:v>CHG-0020</x:v>
      </x:c>
      <x:c r="B25" s="64" t="n">
        <x:v>46256</x:v>
      </x:c>
      <x:c r="C25" t="str">
        <x:v>Dylan / Codex</x:v>
      </x:c>
      <x:c r="D25" t="str">
        <x:v>1.8</x:v>
      </x:c>
      <x:c r="E25" t="str">
        <x:v>Masterdata leveranciers, aanbiedingen en afbeeldingen genormaliseerd</x:v>
      </x:c>
      <x:c r="F25" t="str">
        <x:v>Leveranciersvoorkeur geïntegreerd op het werkblad Leveranciers; Leverancierscatalogus geïntegreerd in Prijs &amp; inkoop; alle koppelingen gebruiken stabiele ID's; binaire afbeeldingen blijven in externe assetopslag en Excel bevat previews; legacy-tabbladen verwijderd.</x:v>
      </x:c>
      <x:c r="G25" t="str">
        <x:v>SuppliersTable;SupplierPreferencesTable;PricingProcurementTable;ProductsTable;ProductRulesTable;image-catalog.json</x:v>
      </x:c>
      <x:c r="H25" t="str">
        <x:v>App-reader migreert gelijktijdig naar Leverancier-ID, subcategorie en productscope; machinebasis toegevoegd als geldig basisproduct.</x:v>
      </x:c>
    </x:row>
    <x:row r="26" ht="64.5" customHeight="1">
      <x:c r="A26" t="str">
        <x:v>CHG-0021</x:v>
      </x:c>
      <x:c r="B26" s="64" t="n">
        <x:v>46256</x:v>
      </x:c>
      <x:c r="C26" t="str">
        <x:v>Dylan / Codex</x:v>
      </x:c>
      <x:c r="D26" t="str">
        <x:v>1.9</x:v>
      </x:c>
      <x:c r="E26" s="6" t="str">
        <x:v>TechXXL-bibliotheek verrijkt met geverifieerde artikelen en previews</x:v>
      </x:c>
      <x:c r="F26" s="6" t="str">
        <x:v>Generieke 30x30-, 40x40- en 45x45-profielaanbiedingen vervangen door actuele TechXXL-artikelen; groef-8 eindkappen 80x80 en 80x40 vrijgegeven als leveranciersdata; losse T-moer 8 M8 toegevoegd; zes bronafbeeldingen extern geregistreerd en als Excel-preview ingebed.</x:v>
      </x:c>
      <x:c r="G26" s="6" t="str">
        <x:v>alu_profile_30x30;alu_profile_40x40;alu_profile_45x45;end_cap_8_80x80_black_candidate;end_cap_8_80x40_black_candidate;techxxl_t_nut_8_m8;image-catalog.json</x:v>
      </x:c>
      <x:c r="H26" s="6" t="str">
        <x:v>De bestaande kandidaat-ID's van de eindkappen blijven stabiel. De complete M8x22 + Nut 8-set blijft apart te controleren; de gevonden T-moer is bewust niet als complete set aangemerkt.</x:v>
      </x:c>
    </x:row>
    <x:row r="27">
      <x:c r="A27" t="str">
        <x:v>CHG-0022</x:v>
      </x:c>
      <x:c r="B27" t="str">
        <x:v>2026-08-22</x:v>
      </x:c>
      <x:c r="C27" t="str">
        <x:v>Dylan / Codex</x:v>
      </x:c>
      <x:c r="D27" t="str">
        <x:v>2.0</x:v>
      </x:c>
      <x:c r="E27" t="str">
        <x:v>Modulaire materiaal- en gereedschapswagen</x:v>
      </x:c>
      <x:c r="F27" t="str">
        <x:v>Configureerbaar 40x40-product toegevoegd met 2–4 legbordlagen, automatische middenliggers, links/rechts/geen duwbeugel en twee TechXXL D100-wielopstellingen.</x:v>
      </x:c>
      <x:c r="G27" t="str">
        <x:v>materiaalwagen;PRD-MATW-001..006;VAL-MATW-001..003;techxxl_caster_*;material-cart-assembly-manifest.json</x:v>
      </x:c>
      <x:c r="H27" t="str">
        <x:v>Standaardcontract: 3 legborden, 22 profieldelen, 4 wielen, 0 losse eindkappen; productregressietest en 3D-assembly gebruiken dezelfde parameters.</x:v>
      </x:c>
    </x:row>
    <x:row r="28">
      <x:c r="A28" t="str">
        <x:v>CHG-0023</x:v>
      </x:c>
      <x:c r="B28" t="str">
        <x:v>2026-08-22</x:v>
      </x:c>
      <x:c r="C28" t="str">
        <x:v>Dylan / Codex</x:v>
      </x:c>
      <x:c r="D28" t="str">
        <x:v>2.1</x:v>
      </x:c>
      <x:c r="E28" t="str">
        <x:v>Sim-racing-rig 40x80 met functionele custom platen</x:v>
      </x:c>
      <x:c r="F28" t="str">
        <x:v>Configureerbare sim-rig toegevoegd. Zes adapterplaten zijn uit meerdere referentieaanzichten afgeleid en vereenvoudigd tot produceerbare contouren met uitsluitend montage-, draai- en instelfuncties.</x:v>
      </x:c>
      <x:c r="G28" t="str">
        <x:v>sim_rig_4080;PRD-SIM-001..008;VAL-SIM-001..004;custom_simrig_*;sim-rig-4080-assembly-manifest.json</x:v>
      </x:c>
      <x:c r="H28" t="str">
        <x:v>R1 blijft voorlopig: Aluxprofiel buitenmaten en Fanatec M6-interface zijn bronvast; exacte profielserie, pedaalbelasting en passing vereisen proefbouw.</x:v>
      </x:c>
    </x:row>
  </x:sheetData>
  <x:mergeCells>
    <x:mergeCell ref="A1:H1"/>
    <x:mergeCell ref="A2:H2"/>
  </x:mergeCells>
  <x:pageMargins left="0.7" right="0.7" top="0.75" bottom="0.75" header="0.3" footer="0.3"/>
  <x:tableParts count="1">
    <x:tablePart xmlns:r="http://schemas.openxmlformats.org/officeDocument/2006/relationships" r:id="R63e5b6ba4ec447e8"/>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s>
  <x:sheetData>
    <x:row r="1" ht="28" customHeight="1">
      <x:c r="A1" s="2" t="str">
        <x:v>Beheerde keuzelijsten</x:v>
      </x:c>
      <x:c r="B1" s="2"/>
    </x:row>
    <x:row r="2" ht="34" customHeight="1">
      <x:c r="A2" s="5" t="str">
        <x:v>Voor dropdowns en toekomstige beheerinterface. Voeg synoniemen niet als nieuwe waarde toe; beheer één canonieke term.</x:v>
      </x:c>
      <x:c r="B2" s="5"/>
    </x:row>
    <x:row r="5" ht="32" customHeight="1">
      <x:c r="A5" s="10" t="str">
        <x:v>Lijst</x:v>
      </x:c>
      <x:c r="B5" s="12" t="str">
        <x:v>Waarde</x:v>
      </x:c>
    </x:row>
    <x:row r="6">
      <x:c r="A6" s="13" t="str">
        <x:v>Status</x:v>
      </x:c>
      <x:c r="B6" s="13" t="str">
        <x:v>Goedgekeurd</x:v>
      </x:c>
    </x:row>
    <x:row r="7">
      <x:c r="A7" s="14" t="str">
        <x:v>Status</x:v>
      </x:c>
      <x:c r="B7" s="14" t="str">
        <x:v>Voorlopig</x:v>
      </x:c>
    </x:row>
    <x:row r="8">
      <x:c r="A8" s="14" t="str">
        <x:v>Status</x:v>
      </x:c>
      <x:c r="B8" s="14" t="str">
        <x:v>Te controleren</x:v>
      </x:c>
    </x:row>
    <x:row r="9">
      <x:c r="A9" s="14" t="str">
        <x:v>Status</x:v>
      </x:c>
      <x:c r="B9" s="14" t="str">
        <x:v>Open</x:v>
      </x:c>
    </x:row>
    <x:row r="10">
      <x:c r="A10" s="14" t="str">
        <x:v>Status</x:v>
      </x:c>
      <x:c r="B10" s="14" t="str">
        <x:v>Geblokkeerd</x:v>
      </x:c>
    </x:row>
    <x:row r="11">
      <x:c r="A11" s="14" t="str">
        <x:v>Status</x:v>
      </x:c>
      <x:c r="B11" s="14" t="str">
        <x:v>Vervallen</x:v>
      </x:c>
    </x:row>
    <x:row r="12">
      <x:c r="A12" s="14" t="str">
        <x:v>JaNee</x:v>
      </x:c>
      <x:c r="B12" s="14" t="str">
        <x:v>Ja</x:v>
      </x:c>
    </x:row>
    <x:row r="13">
      <x:c r="A13" s="14" t="str">
        <x:v>JaNee</x:v>
      </x:c>
      <x:c r="B13" s="14" t="str">
        <x:v>Nee</x:v>
      </x:c>
    </x:row>
    <x:row r="14">
      <x:c r="A14" s="14" t="str">
        <x:v>Prioriteit</x:v>
      </x:c>
      <x:c r="B14" s="14" t="str">
        <x:v>Kritiek</x:v>
      </x:c>
    </x:row>
    <x:row r="15">
      <x:c r="A15" s="14" t="str">
        <x:v>Prioriteit</x:v>
      </x:c>
      <x:c r="B15" s="14" t="str">
        <x:v>Hoog</x:v>
      </x:c>
    </x:row>
    <x:row r="16">
      <x:c r="A16" s="14" t="str">
        <x:v>Prioriteit</x:v>
      </x:c>
      <x:c r="B16" s="14" t="str">
        <x:v>Midden</x:v>
      </x:c>
    </x:row>
    <x:row r="17">
      <x:c r="A17" s="14" t="str">
        <x:v>Prioriteit</x:v>
      </x:c>
      <x:c r="B17" s="14" t="str">
        <x:v>Laag</x:v>
      </x:c>
    </x:row>
    <x:row r="18">
      <x:c r="A18" s="14" t="str">
        <x:v>Domein</x:v>
      </x:c>
      <x:c r="B18" s="14" t="str">
        <x:v>Materiaal</x:v>
      </x:c>
    </x:row>
    <x:row r="19">
      <x:c r="A19" s="14" t="str">
        <x:v>Domein</x:v>
      </x:c>
      <x:c r="B19" s="14" t="str">
        <x:v>Bevestiging</x:v>
      </x:c>
    </x:row>
    <x:row r="20">
      <x:c r="A20" s="14" t="str">
        <x:v>Domein</x:v>
      </x:c>
      <x:c r="B20" s="14" t="str">
        <x:v>Verbinding</x:v>
      </x:c>
    </x:row>
    <x:row r="21">
      <x:c r="A21" s="14" t="str">
        <x:v>Domein</x:v>
      </x:c>
      <x:c r="B21" s="14" t="str">
        <x:v>CNC</x:v>
      </x:c>
    </x:row>
    <x:row r="22">
      <x:c r="A22" s="14" t="str">
        <x:v>Domein</x:v>
      </x:c>
      <x:c r="B22" s="14" t="str">
        <x:v>Veiligheid</x:v>
      </x:c>
    </x:row>
    <x:row r="23">
      <x:c r="A23" s="15" t="str">
        <x:v>Domein</x:v>
      </x:c>
      <x:c r="B23" s="15" t="str">
        <x:v>Vrijgave</x:v>
      </x:c>
    </x:row>
  </x:sheetData>
  <x:mergeCells>
    <x:mergeCell ref="A1:B1"/>
    <x:mergeCell ref="A2:B2"/>
  </x:mergeCells>
  <x:pageMargins left="0.7" right="0.7" top="0.75" bottom="0.75" header="0.3" footer="0.3"/>
  <x:tableParts count="1">
    <x:tablePart xmlns:r="http://schemas.openxmlformats.org/officeDocument/2006/relationships" r:id="Ra2ba3fde144c4330"/>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75" hidden="0" customWidth="1"/>
    <x:col min="2" max="2" width="14.5" hidden="0" customWidth="1"/>
    <x:col min="3" max="3" width="28.1299991607666" hidden="0" customWidth="1"/>
    <x:col min="4" max="4" width="10.380000114440918" hidden="0" customWidth="1"/>
    <x:col min="5" max="5" width="21.8799991607666" hidden="0" customWidth="1"/>
    <x:col min="6" max="6" width="35.630001068115234" hidden="0" customWidth="1"/>
    <x:col min="7" max="7" width="13.130000114440918" hidden="0" customWidth="1"/>
    <x:col min="8" max="8" width="18.8799991607666" hidden="0" customWidth="1"/>
    <x:col min="9" max="9" width="7.880000114440918" hidden="0" customWidth="1"/>
    <x:col min="10" max="10" width="10" hidden="0" customWidth="1"/>
    <x:col min="11" max="11" width="18.1299991607666" hidden="0" customWidth="1"/>
    <x:col min="12" max="12" width="26.25" hidden="0" customWidth="1"/>
    <x:col min="13" max="13" width="15.5" hidden="0" customWidth="1"/>
    <x:col min="14" max="14" width="43.25" hidden="0" customWidth="1"/>
    <x:col min="15" max="15" width="31.3799991607666" hidden="0" customWidth="1"/>
    <x:col min="16" max="16" width="41.25" hidden="0" customWidth="1"/>
    <x:col min="17" max="17" width="11.380000114440918" hidden="0" customWidth="1"/>
    <x:col min="18" max="18" width="13" hidden="0" customWidth="1"/>
    <x:col min="19" max="19" width="23.75" hidden="0" customWidth="1"/>
    <x:col min="20" max="20" width="37.5" hidden="0" customWidth="1"/>
    <x:col min="21" max="21" width="41.25" hidden="0" customWidth="1"/>
    <x:col min="22" max="22" width="17.25" hidden="0" customWidth="1"/>
    <x:col min="23" max="23" width="45" hidden="0" customWidth="1"/>
    <x:col min="24" max="24" width="14.25" hidden="0" customWidth="1"/>
    <x:col min="25" max="25" width="23.75" hidden="0" customWidth="1"/>
  </x:cols>
  <x:sheetData>
    <x:row r="1" ht="28" customHeight="1">
      <x:c r="A1" s="403" t="str">
        <x:v>Prijs-, inkoop- en leveranciersaanbiedingen — leidende bron</x:v>
      </x:c>
      <x:c r="B1" s="403"/>
      <x:c r="C1" s="403"/>
      <x:c r="D1" s="403"/>
      <x:c r="E1" s="403"/>
      <x:c r="F1" s="403"/>
      <x:c r="G1" s="403"/>
      <x:c r="H1" s="403"/>
      <x:c r="I1" s="403"/>
      <x:c r="J1" s="403"/>
      <x:c r="K1" s="403"/>
      <x:c r="L1" s="403"/>
      <x:c r="M1" s="403"/>
      <x:c r="N1" s="403"/>
      <x:c r="O1" s="403"/>
      <x:c r="P1" s="403"/>
      <x:c r="Q1" s="403"/>
      <x:c r="R1" s="403"/>
      <x:c r="S1" s="403"/>
      <x:c r="T1" s="403"/>
      <x:c r="U1" s="403"/>
      <x:c r="V1" s="403"/>
      <x:c r="W1" s="403"/>
      <x:c r="X1" s="403"/>
      <x:c r="Y1" s="403"/>
    </x:row>
    <x:row r="2" ht="38" customHeight="1">
      <x:c r="A2" s="402" t="str">
        <x:v>Iedere regel koppelt één interne materiaal-, component- of kostensleutel aan een leverancieraanbieding. Afbeeldingsbestanden staan buiten Excel; kolom Y bevat alleen een ingebedde preview.</x:v>
      </x:c>
      <x:c r="B2" s="402"/>
      <x:c r="C2" s="402"/>
      <x:c r="D2" s="402"/>
      <x:c r="E2" s="402"/>
      <x:c r="F2" s="402"/>
      <x:c r="G2" s="402"/>
      <x:c r="H2" s="402"/>
      <x:c r="I2" s="402"/>
      <x:c r="J2" s="402"/>
      <x:c r="K2" s="402"/>
      <x:c r="L2" s="402"/>
      <x:c r="M2" s="402"/>
      <x:c r="N2" s="402"/>
      <x:c r="O2" s="402"/>
      <x:c r="P2" s="402"/>
      <x:c r="Q2" s="402"/>
      <x:c r="R2" s="402"/>
      <x:c r="S2" s="402"/>
      <x:c r="T2" s="402"/>
      <x:c r="U2" s="402"/>
      <x:c r="V2" s="402"/>
      <x:c r="W2" s="402"/>
      <x:c r="X2" s="402"/>
      <x:c r="Y2" s="402"/>
    </x:row>
    <x:row r="3">
      <x:c r="A3" s="6"/>
      <x:c r="B3" s="6"/>
      <x:c r="C3" s="6"/>
      <x:c r="D3" s="6"/>
      <x:c r="E3" s="6"/>
      <x:c r="F3" s="6"/>
      <x:c r="G3" s="6"/>
      <x:c r="H3" s="6"/>
      <x:c r="I3" s="6"/>
      <x:c r="J3" s="6"/>
      <x:c r="K3" s="6"/>
      <x:c r="L3" s="6"/>
      <x:c r="M3" s="6"/>
      <x:c r="N3" s="6"/>
      <x:c r="O3" s="6"/>
      <x:c r="P3" s="6"/>
      <x:c r="Q3" s="6"/>
      <x:c r="R3" s="6"/>
      <x:c r="S3" s="6"/>
      <x:c r="T3" s="6"/>
      <x:c r="U3" s="6"/>
      <x:c r="V3" s="6"/>
      <x:c r="W3" s="6"/>
      <x:c r="X3" s="6"/>
      <x:c r="Y3" s="6"/>
    </x:row>
    <x:row r="4">
      <x:c r="A4" s="6"/>
      <x:c r="B4" s="6"/>
      <x:c r="C4" s="6"/>
      <x:c r="D4" s="6"/>
      <x:c r="E4" s="6"/>
      <x:c r="F4" s="6"/>
      <x:c r="G4" s="6"/>
      <x:c r="H4" s="6"/>
      <x:c r="I4" s="6"/>
      <x:c r="J4" s="6"/>
      <x:c r="K4" s="6"/>
      <x:c r="L4" s="6"/>
      <x:c r="M4" s="6"/>
      <x:c r="N4" s="6"/>
      <x:c r="O4" s="6"/>
      <x:c r="P4" s="6"/>
      <x:c r="Q4" s="6"/>
      <x:c r="R4" s="6"/>
      <x:c r="S4" s="6"/>
      <x:c r="T4" s="6"/>
      <x:c r="U4" s="6"/>
      <x:c r="V4" s="6"/>
      <x:c r="W4" s="6"/>
      <x:c r="X4" s="6"/>
      <x:c r="Y4" s="6"/>
    </x:row>
    <x:row r="5" ht="34" customHeight="1">
      <x:c r="A5" s="6" t="str">
        <x:v>Aanbieding-ID</x:v>
      </x:c>
      <x:c r="B5" s="6" t="str">
        <x:v>Recordtype</x:v>
      </x:c>
      <x:c r="C5" s="6" t="str">
        <x:v>Interne-ID</x:v>
      </x:c>
      <x:c r="D5" s="6" t="str">
        <x:v>Categorie</x:v>
      </x:c>
      <x:c r="E5" s="6" t="str">
        <x:v>Subcategorie</x:v>
      </x:c>
      <x:c r="F5" s="6" t="str">
        <x:v>Omschrijving</x:v>
      </x:c>
      <x:c r="G5" s="6" t="str">
        <x:v>Eenheid</x:v>
      </x:c>
      <x:c r="H5" s="6" t="str">
        <x:v>Inkoopprijs excl. btw</x:v>
      </x:c>
      <x:c r="I5" s="6" t="str">
        <x:v>Valuta</x:v>
      </x:c>
      <x:c r="J5" s="6" t="str">
        <x:v>Opslag %</x:v>
      </x:c>
      <x:c r="K5" s="6" t="str">
        <x:v>Leverancier-ID</x:v>
      </x:c>
      <x:c r="L5" s="6" t="str">
        <x:v>Leveranciers-artikelcode</x:v>
      </x:c>
      <x:c r="M5" s="6" t="str">
        <x:v>Serie</x:v>
      </x:c>
      <x:c r="N5" s="6" t="str">
        <x:v>Maten</x:v>
      </x:c>
      <x:c r="O5" s="6" t="str">
        <x:v>Materiaal</x:v>
      </x:c>
      <x:c r="P5" s="6" t="str">
        <x:v>Bestel-URL</x:v>
      </x:c>
      <x:c r="Q5" s="6" t="str">
        <x:v>Prijsdatum</x:v>
      </x:c>
      <x:c r="R5" s="6" t="str">
        <x:v>Prijsstatus</x:v>
      </x:c>
      <x:c r="S5" s="6" t="str">
        <x:v>Afbeelding-ID</x:v>
      </x:c>
      <x:c r="T5" s="6" t="str">
        <x:v>Afbeelding-bron-URL</x:v>
      </x:c>
      <x:c r="U5" s="6" t="str">
        <x:v>Lokale afbeelding</x:v>
      </x:c>
      <x:c r="V5" s="6" t="str">
        <x:v>Afbeeldingstatus</x:v>
      </x:c>
      <x:c r="W5" s="6" t="str">
        <x:v>Notitie</x:v>
      </x:c>
      <x:c r="X5" s="6" t="str">
        <x:v>Effectieve rang</x:v>
      </x:c>
      <x:c r="Y5" s="6" t="str">
        <x:v>Afbeelding preview</x:v>
      </x:c>
    </x:row>
    <x:row r="6">
      <x:c r="A6" s="6" t="str">
        <x:v>PRI-MATERIAAL-OSB-18</x:v>
      </x:c>
      <x:c r="B6" s="6" t="str">
        <x:v>Materiaal</x:v>
      </x:c>
      <x:c r="C6" s="6" t="str">
        <x:v>osb_18</x:v>
      </x:c>
      <x:c r="D6" s="6" t="str">
        <x:v>Materiaal</x:v>
      </x:c>
      <x:c r="E6" s="6" t="str">
        <x:v>Algemeen</x:v>
      </x:c>
      <x:c r="F6" s="6" t="str">
        <x:v>OSB 18mm</x:v>
      </x:c>
      <x:c r="G6" s="6" t="str">
        <x:v>m2</x:v>
      </x:c>
      <x:c r="H6" s="405" t="n">
        <x:v>18</x:v>
      </x:c>
      <x:c r="I6" s="6" t="str">
        <x:v>EUR</x:v>
      </x:c>
      <x:c r="J6" s="406" t="n">
        <x:v>35</x:v>
      </x:c>
      <x:c r="K6" s="6"/>
      <x:c r="L6" s="6"/>
      <x:c r="M6" s="6"/>
      <x:c r="N6" s="6"/>
      <x:c r="O6" s="6"/>
      <x:c r="P6" s="6"/>
      <x:c r="Q6" s="65"/>
      <x:c r="R6" s="6" t="str">
        <x:v>Schatting</x:v>
      </x:c>
      <x:c r="S6" s="6"/>
      <x:c r="T6" s="6"/>
      <x:c r="U6" s="6"/>
      <x:c r="V6" s="6" t="str">
        <x:v>Geen afbeelding</x:v>
      </x:c>
      <x:c r="W6" s="6" t="str">
        <x:v>Invulwaarde, vervangen door actuele leverancierprijs</x:v>
      </x:c>
      <x:c r="X6" s="6" t="n">
        <x:v>0</x:v>
      </x:c>
      <x:c r="Y6" s="6"/>
    </x:row>
    <x:row r="7">
      <x:c r="A7" s="6" t="str">
        <x:v>PRI-MATERIAAL-BETONPLEX-12</x:v>
      </x:c>
      <x:c r="B7" s="6" t="str">
        <x:v>Materiaal</x:v>
      </x:c>
      <x:c r="C7" s="6" t="str">
        <x:v>betonplex_12</x:v>
      </x:c>
      <x:c r="D7" s="6" t="str">
        <x:v>Materiaal</x:v>
      </x:c>
      <x:c r="E7" s="6" t="str">
        <x:v>Algemeen</x:v>
      </x:c>
      <x:c r="F7" s="6" t="str">
        <x:v>Betonplex 12mm</x:v>
      </x:c>
      <x:c r="G7" s="6" t="str">
        <x:v>m2</x:v>
      </x:c>
      <x:c r="H7" s="405" t="n">
        <x:v>34</x:v>
      </x:c>
      <x:c r="I7" s="6" t="str">
        <x:v>EUR</x:v>
      </x:c>
      <x:c r="J7" s="406" t="n">
        <x:v>35</x:v>
      </x:c>
      <x:c r="K7" s="6"/>
      <x:c r="L7" s="6"/>
      <x:c r="M7" s="6"/>
      <x:c r="N7" s="6"/>
      <x:c r="O7" s="6"/>
      <x:c r="P7" s="6"/>
      <x:c r="Q7" s="65"/>
      <x:c r="R7" s="6" t="str">
        <x:v>Schatting</x:v>
      </x:c>
      <x:c r="S7" s="6"/>
      <x:c r="T7" s="6"/>
      <x:c r="U7" s="6"/>
      <x:c r="V7" s="6" t="str">
        <x:v>Geen afbeelding</x:v>
      </x:c>
      <x:c r="W7" s="6" t="str">
        <x:v>Invulwaarde, vervangen door actuele leverancierprijs</x:v>
      </x:c>
      <x:c r="X7" s="6" t="n">
        <x:v>0</x:v>
      </x:c>
      <x:c r="Y7" s="6"/>
    </x:row>
    <x:row r="8">
      <x:c r="A8" s="6" t="str">
        <x:v>PRI-MATERIAAL-BETONPLEX-18</x:v>
      </x:c>
      <x:c r="B8" s="6" t="str">
        <x:v>Materiaal</x:v>
      </x:c>
      <x:c r="C8" s="6" t="str">
        <x:v>betonplex_18</x:v>
      </x:c>
      <x:c r="D8" s="6" t="str">
        <x:v>Materiaal</x:v>
      </x:c>
      <x:c r="E8" s="6" t="str">
        <x:v>Algemeen</x:v>
      </x:c>
      <x:c r="F8" s="6" t="str">
        <x:v>Betonplex 18mm</x:v>
      </x:c>
      <x:c r="G8" s="6" t="str">
        <x:v>plaat</x:v>
      </x:c>
      <x:c r="H8" s="405" t="n">
        <x:v>33</x:v>
      </x:c>
      <x:c r="I8" s="6" t="str">
        <x:v>EUR</x:v>
      </x:c>
      <x:c r="J8" s="406" t="n">
        <x:v>35</x:v>
      </x:c>
      <x:c r="K8" s="6"/>
      <x:c r="L8" s="6"/>
      <x:c r="M8" s="6"/>
      <x:c r="N8" s="6"/>
      <x:c r="O8" s="6"/>
      <x:c r="P8" s="6"/>
      <x:c r="Q8" s="65"/>
      <x:c r="R8" s="6" t="str">
        <x:v>Te controleren</x:v>
      </x:c>
      <x:c r="S8" s="6"/>
      <x:c r="T8" s="6"/>
      <x:c r="U8" s="6"/>
      <x:c r="V8" s="6" t="str">
        <x:v>Geen afbeelding</x:v>
      </x:c>
      <x:c r="W8" s="6" t="str">
        <x:v>Prijs per volledige plaat excl. btw</x:v>
      </x:c>
      <x:c r="X8" s="6" t="n">
        <x:v>0</x:v>
      </x:c>
      <x:c r="Y8" s="6"/>
    </x:row>
    <x:row r="9">
      <x:c r="A9" s="6" t="str">
        <x:v>PRI-MATERIAAL-MULTIPLEX-15</x:v>
      </x:c>
      <x:c r="B9" s="6" t="str">
        <x:v>Materiaal</x:v>
      </x:c>
      <x:c r="C9" s="6" t="str">
        <x:v>multiplex_15</x:v>
      </x:c>
      <x:c r="D9" s="6" t="str">
        <x:v>Materiaal</x:v>
      </x:c>
      <x:c r="E9" s="6" t="str">
        <x:v>Algemeen</x:v>
      </x:c>
      <x:c r="F9" s="6" t="str">
        <x:v>Multiplex 15mm</x:v>
      </x:c>
      <x:c r="G9" s="6" t="str">
        <x:v>plaat</x:v>
      </x:c>
      <x:c r="H9" s="405" t="n">
        <x:v>33</x:v>
      </x:c>
      <x:c r="I9" s="6" t="str">
        <x:v>EUR</x:v>
      </x:c>
      <x:c r="J9" s="406" t="n">
        <x:v>35</x:v>
      </x:c>
      <x:c r="K9" s="6"/>
      <x:c r="L9" s="6"/>
      <x:c r="M9" s="6"/>
      <x:c r="N9" s="6"/>
      <x:c r="O9" s="6"/>
      <x:c r="P9" s="6"/>
      <x:c r="Q9" s="65"/>
      <x:c r="R9" s="6" t="str">
        <x:v>Te controleren</x:v>
      </x:c>
      <x:c r="S9" s="6"/>
      <x:c r="T9" s="6"/>
      <x:c r="U9" s="6"/>
      <x:c r="V9" s="6" t="str">
        <x:v>Geen afbeelding</x:v>
      </x:c>
      <x:c r="W9" s="6" t="str">
        <x:v>Prijs per volledige plaat excl. btw</x:v>
      </x:c>
      <x:c r="X9" s="6" t="n">
        <x:v>0</x:v>
      </x:c>
      <x:c r="Y9" s="6"/>
    </x:row>
    <x:row r="10">
      <x:c r="A10" s="6" t="str">
        <x:v>PRI-MATERIAAL-ALU-6082-10-ADAPTER</x:v>
      </x:c>
      <x:c r="B10" s="6" t="str">
        <x:v>Materiaal</x:v>
      </x:c>
      <x:c r="C10" s="6" t="str">
        <x:v>alu_6082_10_adapter</x:v>
      </x:c>
      <x:c r="D10" s="6" t="str">
        <x:v>Materiaal</x:v>
      </x:c>
      <x:c r="E10" s="6" t="str">
        <x:v>Algemeen</x:v>
      </x:c>
      <x:c r="F10" s="6" t="str">
        <x:v>Aluminium EN AW-6082 adapterplaat 10mm</x:v>
      </x:c>
      <x:c r="G10" s="6" t="str">
        <x:v>m2</x:v>
      </x:c>
      <x:c r="H10" s="405" t="n">
        <x:v>180</x:v>
      </x:c>
      <x:c r="I10" s="6" t="str">
        <x:v>EUR</x:v>
      </x:c>
      <x:c r="J10" s="406" t="n">
        <x:v>35</x:v>
      </x:c>
      <x:c r="K10" s="6"/>
      <x:c r="L10" s="6"/>
      <x:c r="M10" s="6"/>
      <x:c r="N10" s="6"/>
      <x:c r="O10" s="6"/>
      <x:c r="P10" s="6"/>
      <x:c r="Q10" s="65"/>
      <x:c r="R10" s="6" t="str">
        <x:v>Voorlopig</x:v>
      </x:c>
      <x:c r="S10" s="6"/>
      <x:c r="T10" s="6"/>
      <x:c r="U10" s="6"/>
      <x:c r="V10" s="6" t="str">
        <x:v>Geen afbeelding</x:v>
      </x:c>
      <x:c r="W10" s="6" t="str">
        <x:v>Voorlopige m2-prijs voor vier gefreesde wagenadapterplaten, actualiseren bij leverancier</x:v>
      </x:c>
      <x:c r="X10" s="6" t="n">
        <x:v>0</x:v>
      </x:c>
      <x:c r="Y10" s="6"/>
    </x:row>
    <x:row r="11">
      <x:c r="A11" s="6" t="str">
        <x:v>PRI-MATERIAAL-HPL-6-LEX-STABILIZER</x:v>
      </x:c>
      <x:c r="B11" s="6" t="str">
        <x:v>Materiaal</x:v>
      </x:c>
      <x:c r="C11" s="6" t="str">
        <x:v>hpl_6_lex_stabilizer</x:v>
      </x:c>
      <x:c r="D11" s="6" t="str">
        <x:v>Materiaal</x:v>
      </x:c>
      <x:c r="E11" s="6" t="str">
        <x:v>Algemeen</x:v>
      </x:c>
      <x:c r="F11" s="6" t="str">
        <x:v>HPL stabilisatieplaat wit 6mm</x:v>
      </x:c>
      <x:c r="G11" s="6" t="str">
        <x:v>m2</x:v>
      </x:c>
      <x:c r="H11" s="405" t="n">
        <x:v>32</x:v>
      </x:c>
      <x:c r="I11" s="6" t="str">
        <x:v>EUR</x:v>
      </x:c>
      <x:c r="J11" s="406" t="n">
        <x:v>35</x:v>
      </x:c>
      <x:c r="K11" s="6"/>
      <x:c r="L11" s="6"/>
      <x:c r="M11" s="6"/>
      <x:c r="N11" s="6"/>
      <x:c r="O11" s="6"/>
      <x:c r="P11" s="6"/>
      <x:c r="Q11" s="65"/>
      <x:c r="R11" s="6" t="str">
        <x:v>Te controleren</x:v>
      </x:c>
      <x:c r="S11" s="6"/>
      <x:c r="T11" s="6"/>
      <x:c r="U11" s="6"/>
      <x:c r="V11" s="6" t="str">
        <x:v>Geen afbeelding</x:v>
      </x:c>
      <x:c r="W11" s="6" t="str">
        <x:v>Eigen maakdeel, niet inbegrepen bij de HTE2-hefset</x:v>
      </x:c>
      <x:c r="X11" s="6" t="n">
        <x:v>0</x:v>
      </x:c>
      <x:c r="Y11" s="6"/>
    </x:row>
    <x:row r="12" ht="64.5" customHeight="1">
      <x:c r="A12" s="6" t="str">
        <x:v>PRI-PROFIEL-ALU-PROFILE-30X30</x:v>
      </x:c>
      <x:c r="B12" s="6" t="str">
        <x:v>Materiaal</x:v>
      </x:c>
      <x:c r="C12" s="6" t="str">
        <x:v>alu_profile_30x30</x:v>
      </x:c>
      <x:c r="D12" s="6" t="str">
        <x:v>Profiel</x:v>
      </x:c>
      <x:c r="E12" s="6" t="str">
        <x:v>Aluminium systeemprofielen</x:v>
      </x:c>
      <x:c r="F12" s="6" t="str">
        <x:v>Profiel 6 30x30 licht</x:v>
      </x:c>
      <x:c r="G12" s="6" t="str">
        <x:v>m</x:v>
      </x:c>
      <x:c r="H12" s="405" t="n">
        <x:v>7.96</x:v>
      </x:c>
      <x:c r="I12" s="6" t="str">
        <x:v>EUR</x:v>
      </x:c>
      <x:c r="J12" s="406" t="n">
        <x:v>30</x:v>
      </x:c>
      <x:c r="K12" s="6" t="str">
        <x:v>SUP-TECHXXL</x:v>
      </x:c>
      <x:c r="L12" s="6" t="str">
        <x:v>TIN 100127 / S1063030L</x:v>
      </x:c>
      <x:c r="M12" s="6" t="str">
        <x:v>6 / I-type</x:v>
      </x:c>
      <x:c r="N12" s="6" t="str">
        <x:v>6040x30x30 mm</x:v>
      </x:c>
      <x:c r="O12" s="6" t="str">
        <x:v>AlMgSi0,5F25 naturel geanodiseerd</x:v>
      </x:c>
      <x:c r="P12" s="6" t="str">
        <x:v>https://www.techxxl.nl/part-100127.html</x:v>
      </x:c>
      <x:c r="Q12" s="65" t="str">
        <x:v>2026-08-22</x:v>
      </x:c>
      <x:c r="R12" s="6" t="str">
        <x:v>Leveranciersprijs</x:v>
      </x:c>
      <x:c r="S12" s="6" t="str">
        <x:v>IMG-TECHXXL-100127</x:v>
      </x:c>
      <x:c r="T12" s="6" t="str">
        <x:v>https://www.techxxl.nl/img-100127-b.jpg</x:v>
      </x:c>
      <x:c r="U12" s="6" t="str">
        <x:v>config/catalog-images/techxxl/alu-profile-30x30-groove6.jpg</x:v>
      </x:c>
      <x:c r="V12" s="6" t="str">
        <x:v>Lokaal + Excel-preview</x:v>
      </x:c>
      <x:c r="W12" s="6" t="str">
        <x:v>Vanafprijs per meter netto; 6040 mm handelslengte</x:v>
      </x:c>
      <x:c r="X12" s="6" t="n">
        <x:v>1</x:v>
      </x:c>
      <x:c r="Y12" s="6"/>
    </x:row>
    <x:row r="13" ht="64.5" customHeight="1">
      <x:c r="A13" s="6" t="str">
        <x:v>PRI-PROFIEL-ALU-PROFILE-40X40</x:v>
      </x:c>
      <x:c r="B13" s="6" t="str">
        <x:v>Materiaal</x:v>
      </x:c>
      <x:c r="C13" s="6" t="str">
        <x:v>alu_profile_40x40</x:v>
      </x:c>
      <x:c r="D13" s="6" t="str">
        <x:v>Profiel</x:v>
      </x:c>
      <x:c r="E13" s="6" t="str">
        <x:v>Aluminium systeemprofielen</x:v>
      </x:c>
      <x:c r="F13" s="6" t="str">
        <x:v>Profiel 8 40x40 licht, lengte 3040</x:v>
      </x:c>
      <x:c r="G13" s="6" t="str">
        <x:v>m</x:v>
      </x:c>
      <x:c r="H13" s="405" t="n">
        <x:v>14.13</x:v>
      </x:c>
      <x:c r="I13" s="6" t="str">
        <x:v>EUR</x:v>
      </x:c>
      <x:c r="J13" s="406" t="n">
        <x:v>30</x:v>
      </x:c>
      <x:c r="K13" s="6" t="str">
        <x:v>SUP-TECHXXL</x:v>
      </x:c>
      <x:c r="L13" s="6" t="str">
        <x:v>TIN 102816 / S1084040L3M</x:v>
      </x:c>
      <x:c r="M13" s="6" t="str">
        <x:v>8 / I-type</x:v>
      </x:c>
      <x:c r="N13" s="6" t="str">
        <x:v>3040x40x40 mm</x:v>
      </x:c>
      <x:c r="O13" s="6" t="str">
        <x:v>AlMgSi0,5F25 naturel geanodiseerd</x:v>
      </x:c>
      <x:c r="P13" s="6" t="str">
        <x:v>https://www.techxxl.nl/part-102816.html</x:v>
      </x:c>
      <x:c r="Q13" s="65" t="str">
        <x:v>2026-08-22</x:v>
      </x:c>
      <x:c r="R13" s="6" t="str">
        <x:v>Leveranciersprijs</x:v>
      </x:c>
      <x:c r="S13" s="6" t="str">
        <x:v>IMG-TECHXXL-102816</x:v>
      </x:c>
      <x:c r="T13" s="6" t="str">
        <x:v>https://www.techxxl.nl/img-102816-b.jpg</x:v>
      </x:c>
      <x:c r="U13" s="6" t="str">
        <x:v>config/catalog-images/techxxl/alu-profile-40x40-groove8-3040.jpg</x:v>
      </x:c>
      <x:c r="V13" s="6" t="str">
        <x:v>Lokaal + Excel-preview</x:v>
      </x:c>
      <x:c r="W13" s="6" t="str">
        <x:v>Vanafprijs per meter netto; deze aanbieding betreft 3040 mm handelslengte</x:v>
      </x:c>
      <x:c r="X13" s="6" t="n">
        <x:v>1</x:v>
      </x:c>
      <x:c r="Y13" s="6"/>
    </x:row>
    <x:row r="14" ht="64.5" customHeight="1">
      <x:c r="A14" s="6" t="str">
        <x:v>PRI-PROFIEL-ALU-PROFILE-45X45</x:v>
      </x:c>
      <x:c r="B14" s="6" t="str">
        <x:v>Materiaal</x:v>
      </x:c>
      <x:c r="C14" s="6" t="str">
        <x:v>alu_profile_45x45</x:v>
      </x:c>
      <x:c r="D14" s="6" t="str">
        <x:v>Profiel</x:v>
      </x:c>
      <x:c r="E14" s="6" t="str">
        <x:v>Aluminium systeemprofielen</x:v>
      </x:c>
      <x:c r="F14" s="6" t="str">
        <x:v>Profiel 10 45x45 licht, lengte 3040</x:v>
      </x:c>
      <x:c r="G14" s="6" t="str">
        <x:v>m</x:v>
      </x:c>
      <x:c r="H14" s="405" t="n">
        <x:v>13.12</x:v>
      </x:c>
      <x:c r="I14" s="6" t="str">
        <x:v>EUR</x:v>
      </x:c>
      <x:c r="J14" s="406" t="n">
        <x:v>30</x:v>
      </x:c>
      <x:c r="K14" s="6" t="str">
        <x:v>SUP-TECHXXL</x:v>
      </x:c>
      <x:c r="L14" s="6" t="str">
        <x:v>TIN 102819 / S1104545L3M</x:v>
      </x:c>
      <x:c r="M14" s="6" t="str">
        <x:v>10 / B-type</x:v>
      </x:c>
      <x:c r="N14" s="6" t="str">
        <x:v>3040x45x45 mm</x:v>
      </x:c>
      <x:c r="O14" s="6" t="str">
        <x:v>AlMgSi0,5F25 naturel geanodiseerd</x:v>
      </x:c>
      <x:c r="P14" s="6" t="str">
        <x:v>https://www.techxxl.nl/part-102819.html</x:v>
      </x:c>
      <x:c r="Q14" s="65" t="str">
        <x:v>2026-08-22</x:v>
      </x:c>
      <x:c r="R14" s="6" t="str">
        <x:v>Leveranciersprijs</x:v>
      </x:c>
      <x:c r="S14" s="6" t="str">
        <x:v>IMG-TECHXXL-102819</x:v>
      </x:c>
      <x:c r="T14" s="6" t="str">
        <x:v>https://www.techxxl.nl/img-102819-b.jpg</x:v>
      </x:c>
      <x:c r="U14" s="6" t="str">
        <x:v>config/catalog-images/techxxl/alu-profile-45x45-groove10-3040.jpg</x:v>
      </x:c>
      <x:c r="V14" s="6" t="str">
        <x:v>Lokaal + Excel-preview</x:v>
      </x:c>
      <x:c r="W14" s="6" t="str">
        <x:v>Vanafprijs per meter netto; deze aanbieding betreft 3040 mm handelslengte</x:v>
      </x:c>
      <x:c r="X14" s="6" t="n">
        <x:v>1</x:v>
      </x:c>
      <x:c r="Y14" s="6"/>
    </x:row>
    <x:row r="15">
      <x:c r="A15" s="6" t="str">
        <x:v>PRI-PROFIEL-STEEL-TUBE-40X40</x:v>
      </x:c>
      <x:c r="B15" s="6" t="str">
        <x:v>Materiaal</x:v>
      </x:c>
      <x:c r="C15" s="6" t="str">
        <x:v>steel_tube_40x40</x:v>
      </x:c>
      <x:c r="D15" s="6" t="str">
        <x:v>Profiel</x:v>
      </x:c>
      <x:c r="E15" s="6" t="str">
        <x:v>Algemene profielen</x:v>
      </x:c>
      <x:c r="F15" s="6" t="str">
        <x:v>Stalen koker 40x40</x:v>
      </x:c>
      <x:c r="G15" s="6" t="str">
        <x:v>m</x:v>
      </x:c>
      <x:c r="H15" s="405" t="n">
        <x:v>9</x:v>
      </x:c>
      <x:c r="I15" s="6" t="str">
        <x:v>EUR</x:v>
      </x:c>
      <x:c r="J15" s="406" t="n">
        <x:v>30</x:v>
      </x:c>
      <x:c r="K15" s="6"/>
      <x:c r="L15" s="6"/>
      <x:c r="M15" s="6"/>
      <x:c r="N15" s="6"/>
      <x:c r="O15" s="6"/>
      <x:c r="P15" s="6"/>
      <x:c r="Q15" s="65"/>
      <x:c r="R15" s="6" t="str">
        <x:v>Schatting</x:v>
      </x:c>
      <x:c r="S15" s="6"/>
      <x:c r="T15" s="6"/>
      <x:c r="U15" s="6"/>
      <x:c r="V15" s="6" t="str">
        <x:v>Geen afbeelding</x:v>
      </x:c>
      <x:c r="W15" s="6" t="str">
        <x:v>Invulwaarde per meter</x:v>
      </x:c>
      <x:c r="X15" s="6" t="n">
        <x:v>0</x:v>
      </x:c>
      <x:c r="Y15" s="6"/>
    </x:row>
    <x:row r="16">
      <x:c r="A16" s="6" t="str">
        <x:v>PRI-BESLAG-MEASURED-500-R2</x:v>
      </x:c>
      <x:c r="B16" s="6" t="str">
        <x:v>Component</x:v>
      </x:c>
      <x:c r="C16" s="6" t="str">
        <x:v>measured_500_r2</x:v>
      </x:c>
      <x:c r="D16" s="6" t="str">
        <x:v>Beslag</x:v>
      </x:c>
      <x:c r="E16" s="6" t="str">
        <x:v>Ladegeleiders</x:v>
      </x:c>
      <x:c r="F16" s="6" t="str">
        <x:v>Ladegeleider / rail</x:v>
      </x:c>
      <x:c r="G16" s="6" t="str">
        <x:v>st</x:v>
      </x:c>
      <x:c r="H16" s="405" t="n">
        <x:v>7.5</x:v>
      </x:c>
      <x:c r="I16" s="6" t="str">
        <x:v>EUR</x:v>
      </x:c>
      <x:c r="J16" s="406" t="n">
        <x:v>45</x:v>
      </x:c>
      <x:c r="K16" s="6"/>
      <x:c r="L16" s="6"/>
      <x:c r="M16" s="6"/>
      <x:c r="N16" s="6"/>
      <x:c r="O16" s="6"/>
      <x:c r="P16" s="6"/>
      <x:c r="Q16" s="65"/>
      <x:c r="R16" s="6" t="str">
        <x:v>Schatting</x:v>
      </x:c>
      <x:c r="S16" s="6"/>
      <x:c r="T16" s="6"/>
      <x:c r="U16" s="6"/>
      <x:c r="V16" s="6" t="str">
        <x:v>Geen afbeelding</x:v>
      </x:c>
      <x:c r="W16" s="6" t="str">
        <x:v>Algemene invulwaarde</x:v>
      </x:c>
      <x:c r="X16" s="6" t="n">
        <x:v>0</x:v>
      </x:c>
      <x:c r="Y16" s="6"/>
    </x:row>
    <x:row r="17">
      <x:c r="A17" s="6" t="str">
        <x:v>PRI-BESLAG-KOMPLEMENT-HINGE-R2</x:v>
      </x:c>
      <x:c r="B17" s="6" t="str">
        <x:v>Component</x:v>
      </x:c>
      <x:c r="C17" s="6" t="str">
        <x:v>komplement_hinge_r2</x:v>
      </x:c>
      <x:c r="D17" s="6" t="str">
        <x:v>Beslag</x:v>
      </x:c>
      <x:c r="E17" s="6" t="str">
        <x:v>Scharnieren</x:v>
      </x:c>
      <x:c r="F17" s="6" t="str">
        <x:v>Scharnier</x:v>
      </x:c>
      <x:c r="G17" s="6" t="str">
        <x:v>st</x:v>
      </x:c>
      <x:c r="H17" s="405" t="n">
        <x:v>3.5</x:v>
      </x:c>
      <x:c r="I17" s="6" t="str">
        <x:v>EUR</x:v>
      </x:c>
      <x:c r="J17" s="406" t="n">
        <x:v>45</x:v>
      </x:c>
      <x:c r="K17" s="6"/>
      <x:c r="L17" s="6"/>
      <x:c r="M17" s="6"/>
      <x:c r="N17" s="6"/>
      <x:c r="O17" s="6"/>
      <x:c r="P17" s="6"/>
      <x:c r="Q17" s="65"/>
      <x:c r="R17" s="6" t="str">
        <x:v>Schatting</x:v>
      </x:c>
      <x:c r="S17" s="6"/>
      <x:c r="T17" s="6"/>
      <x:c r="U17" s="6"/>
      <x:c r="V17" s="6" t="str">
        <x:v>Geen afbeelding</x:v>
      </x:c>
      <x:c r="W17" s="6" t="str">
        <x:v>Algemene invulwaarde</x:v>
      </x:c>
      <x:c r="X17" s="6" t="n">
        <x:v>0</x:v>
      </x:c>
      <x:c r="Y17" s="6"/>
    </x:row>
    <x:row r="18">
      <x:c r="A18" s="6" t="str">
        <x:v>PRI-BESLAG-IKEA-SEKTION-90556071-IKEA</x:v>
      </x:c>
      <x:c r="B18" s="6" t="str">
        <x:v>Component</x:v>
      </x:c>
      <x:c r="C18" s="6" t="str">
        <x:v>ikea_sektion_90556071</x:v>
      </x:c>
      <x:c r="D18" s="6" t="str">
        <x:v>Beslag</x:v>
      </x:c>
      <x:c r="E18" s="6" t="str">
        <x:v>Kastpoten</x:v>
      </x:c>
      <x:c r="F18" s="6" t="str">
        <x:v>IKEA SEKTION poot 905.560.71</x:v>
      </x:c>
      <x:c r="G18" s="6" t="str">
        <x:v>verpakking van 2</x:v>
      </x:c>
      <x:c r="H18" s="405" t="n">
        <x:v>4</x:v>
      </x:c>
      <x:c r="I18" s="6" t="str">
        <x:v>EUR</x:v>
      </x:c>
      <x:c r="J18" s="406" t="n">
        <x:v>45</x:v>
      </x:c>
      <x:c r="K18" s="6" t="str">
        <x:v>SUP-IKEA</x:v>
      </x:c>
      <x:c r="L18" s="6" t="str">
        <x:v>905.560.71</x:v>
      </x:c>
      <x:c r="M18" s="6"/>
      <x:c r="N18" s="6"/>
      <x:c r="O18" s="6"/>
      <x:c r="P18" s="6"/>
      <x:c r="Q18" s="65"/>
      <x:c r="R18" s="6" t="str">
        <x:v>Te controleren</x:v>
      </x:c>
      <x:c r="S18" s="6"/>
      <x:c r="T18" s="6"/>
      <x:c r="U18" s="6"/>
      <x:c r="V18" s="6" t="str">
        <x:v>Geen afbeelding</x:v>
      </x:c>
      <x:c r="W18" s="6" t="str">
        <x:v>Prijs uit aangeleverde IKEA-productweergave, actualiseren voor bestellen</x:v>
      </x:c>
      <x:c r="X18" s="6"/>
      <x:c r="Y18" s="6"/>
    </x:row>
    <x:row r="19">
      <x:c r="A19" s="6" t="str">
        <x:v>PRI-BESLAG-COST-FASTENER-GENERIC</x:v>
      </x:c>
      <x:c r="B19" s="6" t="str">
        <x:v>Interne kostenpost</x:v>
      </x:c>
      <x:c r="C19" s="6" t="str">
        <x:v>cost_fastener_generic</x:v>
      </x:c>
      <x:c r="D19" s="6" t="str">
        <x:v>Beslag</x:v>
      </x:c>
      <x:c r="E19" s="6" t="str">
        <x:v>Bevestigers</x:v>
      </x:c>
      <x:c r="F19" s="6" t="str">
        <x:v>Schroef/bout/ring</x:v>
      </x:c>
      <x:c r="G19" s="6" t="str">
        <x:v>st</x:v>
      </x:c>
      <x:c r="H19" s="405" t="n">
        <x:v>0.18</x:v>
      </x:c>
      <x:c r="I19" s="6" t="str">
        <x:v>EUR</x:v>
      </x:c>
      <x:c r="J19" s="406" t="n">
        <x:v>45</x:v>
      </x:c>
      <x:c r="K19" s="6"/>
      <x:c r="L19" s="6"/>
      <x:c r="M19" s="6"/>
      <x:c r="N19" s="6"/>
      <x:c r="O19" s="6"/>
      <x:c r="P19" s="6"/>
      <x:c r="Q19" s="65"/>
      <x:c r="R19" s="6" t="str">
        <x:v>Schatting</x:v>
      </x:c>
      <x:c r="S19" s="6"/>
      <x:c r="T19" s="6"/>
      <x:c r="U19" s="6"/>
      <x:c r="V19" s="6" t="str">
        <x:v>Geen afbeelding</x:v>
      </x:c>
      <x:c r="W19" s="6" t="str">
        <x:v>Algemene invulwaarde</x:v>
      </x:c>
      <x:c r="X19" s="6" t="n">
        <x:v>0</x:v>
      </x:c>
      <x:c r="Y19" s="6"/>
    </x:row>
    <x:row r="20" ht="64.5" customHeight="1">
      <x:c r="A20" s="6" t="str">
        <x:v>PRI-BESLAG-END-CAP-8-80X80-BLACK-CANDIDATE</x:v>
      </x:c>
      <x:c r="B20" s="6" t="str">
        <x:v>Component</x:v>
      </x:c>
      <x:c r="C20" s="6" t="str">
        <x:v>end_cap_8_80x80_black_candidate</x:v>
      </x:c>
      <x:c r="D20" s="6" t="str">
        <x:v>Beslag</x:v>
      </x:c>
      <x:c r="E20" s="6" t="str">
        <x:v>Profieltoebehoren</x:v>
      </x:c>
      <x:c r="F20" s="6" t="str">
        <x:v>Afdekkap 8 80x80 zwart</x:v>
      </x:c>
      <x:c r="G20" s="6" t="str">
        <x:v>st</x:v>
      </x:c>
      <x:c r="H20" s="405" t="n">
        <x:v>0.61</x:v>
      </x:c>
      <x:c r="I20" s="6" t="str">
        <x:v>EUR</x:v>
      </x:c>
      <x:c r="J20" s="406" t="n">
        <x:v>45</x:v>
      </x:c>
      <x:c r="K20" s="6" t="str">
        <x:v>SUP-TECHXXL</x:v>
      </x:c>
      <x:c r="L20" s="6" t="str">
        <x:v>TIN 100193 / S208AK8080</x:v>
      </x:c>
      <x:c r="M20" s="6" t="str">
        <x:v>8 / I-type</x:v>
      </x:c>
      <x:c r="N20" s="6" t="str">
        <x:v>80x80x12 mm</x:v>
      </x:c>
      <x:c r="O20" s="6" t="str">
        <x:v>PA-GF zwart</x:v>
      </x:c>
      <x:c r="P20" s="6" t="str">
        <x:v>https://www.techxxl.nl/part-100193.html</x:v>
      </x:c>
      <x:c r="Q20" s="65" t="str">
        <x:v>2026-08-22</x:v>
      </x:c>
      <x:c r="R20" s="6" t="str">
        <x:v>Leveranciersprijs</x:v>
      </x:c>
      <x:c r="S20" s="6" t="str">
        <x:v>IMG-TECHXXL-100193</x:v>
      </x:c>
      <x:c r="T20" s="6" t="str">
        <x:v>https://www.techxxl.nl/img-100193-b.jpg</x:v>
      </x:c>
      <x:c r="U20" s="6" t="str">
        <x:v>config/catalog-images/techxxl/end-cap-8-80x80-black.jpg</x:v>
      </x:c>
      <x:c r="V20" s="6" t="str">
        <x:v>Lokaal + Excel-preview</x:v>
      </x:c>
      <x:c r="W20" s="6" t="str">
        <x:v>Vanafprijs per stuk netto; exact voor groef-8 I-type 80x80</x:v>
      </x:c>
      <x:c r="X20" s="6" t="n">
        <x:v>1</x:v>
      </x:c>
      <x:c r="Y20" s="6"/>
    </x:row>
    <x:row r="21" ht="64.5" customHeight="1">
      <x:c r="A21" s="6" t="str">
        <x:v>PRI-BESLAG-END-CAP-8-80X40-BLACK-CANDIDATE</x:v>
      </x:c>
      <x:c r="B21" s="6" t="str">
        <x:v>Component</x:v>
      </x:c>
      <x:c r="C21" s="6" t="str">
        <x:v>end_cap_8_80x40_black_candidate</x:v>
      </x:c>
      <x:c r="D21" s="6" t="str">
        <x:v>Beslag</x:v>
      </x:c>
      <x:c r="E21" s="6" t="str">
        <x:v>Profieltoebehoren</x:v>
      </x:c>
      <x:c r="F21" s="6" t="str">
        <x:v>Afdekkap 8 80x40 zwart</x:v>
      </x:c>
      <x:c r="G21" s="6" t="str">
        <x:v>st</x:v>
      </x:c>
      <x:c r="H21" s="405" t="n">
        <x:v>0.33</x:v>
      </x:c>
      <x:c r="I21" s="6" t="str">
        <x:v>EUR</x:v>
      </x:c>
      <x:c r="J21" s="406" t="n">
        <x:v>45</x:v>
      </x:c>
      <x:c r="K21" s="6" t="str">
        <x:v>SUP-TECHXXL</x:v>
      </x:c>
      <x:c r="L21" s="6" t="str">
        <x:v>TIN 100192 / S208AK8040</x:v>
      </x:c>
      <x:c r="M21" s="6" t="str">
        <x:v>8 / I-type</x:v>
      </x:c>
      <x:c r="N21" s="6" t="str">
        <x:v>80x40x12 mm</x:v>
      </x:c>
      <x:c r="O21" s="6" t="str">
        <x:v>PA-GF zwart</x:v>
      </x:c>
      <x:c r="P21" s="6" t="str">
        <x:v>https://www.techxxl.nl/part-100192.html</x:v>
      </x:c>
      <x:c r="Q21" s="65" t="str">
        <x:v>2026-08-22</x:v>
      </x:c>
      <x:c r="R21" s="6" t="str">
        <x:v>Leveranciersprijs</x:v>
      </x:c>
      <x:c r="S21" s="6" t="str">
        <x:v>IMG-TECHXXL-100192</x:v>
      </x:c>
      <x:c r="T21" s="6" t="str">
        <x:v>https://www.techxxl.nl/img-100192-b.jpg</x:v>
      </x:c>
      <x:c r="U21" s="6" t="str">
        <x:v>config/catalog-images/techxxl/end-cap-8-80x40-black.jpg</x:v>
      </x:c>
      <x:c r="V21" s="6" t="str">
        <x:v>Lokaal + Excel-preview</x:v>
      </x:c>
      <x:c r="W21" s="6" t="str">
        <x:v>Vanafprijs per stuk netto; exact voor groef-8 I-type 80x40</x:v>
      </x:c>
      <x:c r="X21" s="6" t="n">
        <x:v>1</x:v>
      </x:c>
      <x:c r="Y21" s="6"/>
    </x:row>
    <x:row r="22">
      <x:c r="A22" s="6" t="str">
        <x:v>PRI-BESLAG-MAUNSYSTEM-ZI-1744-MAUNSYSTEM</x:v>
      </x:c>
      <x:c r="B22" s="6" t="str">
        <x:v>Component</x:v>
      </x:c>
      <x:c r="C22" s="6" t="str">
        <x:v>maunsystem_zi_1744</x:v>
      </x:c>
      <x:c r="D22" s="6" t="str">
        <x:v>Beslag</x:v>
      </x:c>
      <x:c r="E22" s="6" t="str">
        <x:v>Profieltoebehoren</x:v>
      </x:c>
      <x:c r="F22" s="6" t="str">
        <x:v>Maunsystem ZI-1744 hoekadapter M16</x:v>
      </x:c>
      <x:c r="G22" s="6" t="str">
        <x:v>st</x:v>
      </x:c>
      <x:c r="H22" s="405" t="n">
        <x:v>24.95</x:v>
      </x:c>
      <x:c r="I22" s="6" t="str">
        <x:v>EUR</x:v>
      </x:c>
      <x:c r="J22" s="406" t="n">
        <x:v>45</x:v>
      </x:c>
      <x:c r="K22" s="6" t="str">
        <x:v>SUP-MAUNSYSTEM</x:v>
      </x:c>
      <x:c r="L22" s="6" t="str">
        <x:v>ZI-1744 / 1009657</x:v>
      </x:c>
      <x:c r="M22" s="6"/>
      <x:c r="N22" s="6"/>
      <x:c r="O22" s="6"/>
      <x:c r="P22" s="6" t="str">
        <x:v>https://www.maunsystem.de/stellfusssockel-8-d80-weissaluminium/zi-1744</x:v>
      </x:c>
      <x:c r="Q22" s="65" t="str">
        <x:v>2026-08-17</x:v>
      </x:c>
      <x:c r="R22" s="6" t="str">
        <x:v>Prijsindicatie</x:v>
      </x:c>
      <x:c r="S22" s="6"/>
      <x:c r="T22" s="6"/>
      <x:c r="U22" s="6"/>
      <x:c r="V22" s="6" t="str">
        <x:v>Geen afbeelding</x:v>
      </x:c>
      <x:c r="W22" s="6" t="str">
        <x:v>Prijs excl. btw voor 4 stuks volgens leverancier op 17-08-2026</x:v>
      </x:c>
      <x:c r="X22" s="6"/>
      <x:c r="Y22" s="6"/>
    </x:row>
    <x:row r="23">
      <x:c r="A23" s="6" t="str">
        <x:v>PRI-BESLAG-MAUNSYSTEM-ZI-1415-S-MAUNSYSTEM</x:v>
      </x:c>
      <x:c r="B23" s="6" t="str">
        <x:v>Component</x:v>
      </x:c>
      <x:c r="C23" s="6" t="str">
        <x:v>maunsystem_zi_1415_s</x:v>
      </x:c>
      <x:c r="D23" s="6" t="str">
        <x:v>Beslag</x:v>
      </x:c>
      <x:c r="E23" s="6" t="str">
        <x:v>Profieltoebehoren</x:v>
      </x:c>
      <x:c r="F23" s="6" t="str">
        <x:v>Maunsystem ZI-1415-S stelvoet D80 M16x130</x:v>
      </x:c>
      <x:c r="G23" s="6" t="str">
        <x:v>st</x:v>
      </x:c>
      <x:c r="H23" s="405" t="n">
        <x:v>16.4</x:v>
      </x:c>
      <x:c r="I23" s="6" t="str">
        <x:v>EUR</x:v>
      </x:c>
      <x:c r="J23" s="406" t="n">
        <x:v>45</x:v>
      </x:c>
      <x:c r="K23" s="6" t="str">
        <x:v>SUP-MAUNSYSTEM</x:v>
      </x:c>
      <x:c r="L23" s="6" t="str">
        <x:v>ZI-1415-S / 1003339</x:v>
      </x:c>
      <x:c r="M23" s="6"/>
      <x:c r="N23" s="6"/>
      <x:c r="O23" s="6"/>
      <x:c r="P23" s="6" t="str">
        <x:v>https://www.maunsystem.de/stellfuss-d80-m16x130-schwarz/zi-1415-s</x:v>
      </x:c>
      <x:c r="Q23" s="65" t="str">
        <x:v>2026-08-17</x:v>
      </x:c>
      <x:c r="R23" s="6" t="str">
        <x:v>Prijsindicatie</x:v>
      </x:c>
      <x:c r="S23" s="6"/>
      <x:c r="T23" s="6"/>
      <x:c r="U23" s="6"/>
      <x:c r="V23" s="6" t="str">
        <x:v>Geen afbeelding</x:v>
      </x:c>
      <x:c r="W23" s="6" t="str">
        <x:v>Prijs excl. btw voor 4 stuks volgens leverancier op 17-08-2026</x:v>
      </x:c>
      <x:c r="X23" s="6"/>
      <x:c r="Y23" s="6"/>
    </x:row>
    <x:row r="24">
      <x:c r="A24" s="6" t="str">
        <x:v>PRI-BESLAG-MOUNTING-SET-NUT8-ZI1744-CANDIDATE</x:v>
      </x:c>
      <x:c r="B24" s="6" t="str">
        <x:v>Component</x:v>
      </x:c>
      <x:c r="C24" s="6" t="str">
        <x:v>mounting_set_nut8_zi1744_candidate</x:v>
      </x:c>
      <x:c r="D24" s="6" t="str">
        <x:v>Beslag</x:v>
      </x:c>
      <x:c r="E24" s="6" t="str">
        <x:v>Profieltoebehoren</x:v>
      </x:c>
      <x:c r="F24" s="6" t="str">
        <x:v>M8x22 schroef plus Nut 8 inschuifmoer</x:v>
      </x:c>
      <x:c r="G24" s="6" t="str">
        <x:v>st</x:v>
      </x:c>
      <x:c r="H24" s="405" t="n">
        <x:v>0.42</x:v>
      </x:c>
      <x:c r="I24" s="6" t="str">
        <x:v>EUR</x:v>
      </x:c>
      <x:c r="J24" s="406" t="n">
        <x:v>45</x:v>
      </x:c>
      <x:c r="K24" s="6"/>
      <x:c r="L24" s="6"/>
      <x:c r="M24" s="6"/>
      <x:c r="N24" s="6"/>
      <x:c r="O24" s="6"/>
      <x:c r="P24" s="6"/>
      <x:c r="Q24" s="65"/>
      <x:c r="R24" s="6" t="str">
        <x:v>Te controleren</x:v>
      </x:c>
      <x:c r="S24" s="6"/>
      <x:c r="T24" s="6"/>
      <x:c r="U24" s="6"/>
      <x:c r="V24" s="6" t="str">
        <x:v>Geen afbeelding</x:v>
      </x:c>
      <x:c r="W24" s="6" t="str">
        <x:v>Indicatie 0,17 plus 0,25 euro excl. btw per bevestigingspositie</x:v>
      </x:c>
      <x:c r="X24" s="6" t="n">
        <x:v>0</x:v>
      </x:c>
      <x:c r="Y24" s="6"/>
    </x:row>
    <x:row r="25">
      <x:c r="A25" s="6" t="str">
        <x:v>PRI-MACHINE-COST-CNC-HOUR</x:v>
      </x:c>
      <x:c r="B25" s="6" t="str">
        <x:v>Interne kostenpost</x:v>
      </x:c>
      <x:c r="C25" s="6" t="str">
        <x:v>cost_cnc_hour</x:v>
      </x:c>
      <x:c r="D25" s="6" t="str">
        <x:v>Machine</x:v>
      </x:c>
      <x:c r="E25" s="6" t="str">
        <x:v>Interne tarieven</x:v>
      </x:c>
      <x:c r="F25" s="6" t="str">
        <x:v>CNC frezen / boren</x:v>
      </x:c>
      <x:c r="G25" s="6" t="str">
        <x:v>uur</x:v>
      </x:c>
      <x:c r="H25" s="405" t="n">
        <x:v>38</x:v>
      </x:c>
      <x:c r="I25" s="6" t="str">
        <x:v>EUR</x:v>
      </x:c>
      <x:c r="J25" s="406" t="n">
        <x:v>40</x:v>
      </x:c>
      <x:c r="K25" s="6"/>
      <x:c r="L25" s="6" t="str">
        <x:v>CNC-UUR</x:v>
      </x:c>
      <x:c r="M25" s="6"/>
      <x:c r="N25" s="6"/>
      <x:c r="O25" s="6"/>
      <x:c r="P25" s="6"/>
      <x:c r="Q25" s="65" t="str">
        <x:v>2026-08-18</x:v>
      </x:c>
      <x:c r="R25" s="6" t="str">
        <x:v>Intern tarief</x:v>
      </x:c>
      <x:c r="S25" s="6"/>
      <x:c r="T25" s="6"/>
      <x:c r="U25" s="6"/>
      <x:c r="V25" s="6" t="str">
        <x:v>Geen afbeelding</x:v>
      </x:c>
      <x:c r="W25" s="6" t="str">
        <x:v>Geschatte interne machinekost</x:v>
      </x:c>
      <x:c r="X25" s="6" t="n">
        <x:v>0</x:v>
      </x:c>
      <x:c r="Y25" s="6"/>
    </x:row>
    <x:row r="26">
      <x:c r="A26" s="6" t="str">
        <x:v>PRI-ARBEID-COST-LABOUR-HOUR</x:v>
      </x:c>
      <x:c r="B26" s="6" t="str">
        <x:v>Interne kostenpost</x:v>
      </x:c>
      <x:c r="C26" s="6" t="str">
        <x:v>cost_labour_hour</x:v>
      </x:c>
      <x:c r="D26" s="6" t="str">
        <x:v>Arbeid</x:v>
      </x:c>
      <x:c r="E26" s="6" t="str">
        <x:v>Interne tarieven</x:v>
      </x:c>
      <x:c r="F26" s="6" t="str">
        <x:v>Voorbereiding, controle en handling</x:v>
      </x:c>
      <x:c r="G26" s="6" t="str">
        <x:v>uur</x:v>
      </x:c>
      <x:c r="H26" s="405" t="n">
        <x:v>42</x:v>
      </x:c>
      <x:c r="I26" s="6" t="str">
        <x:v>EUR</x:v>
      </x:c>
      <x:c r="J26" s="406" t="n">
        <x:v>35</x:v>
      </x:c>
      <x:c r="K26" s="6"/>
      <x:c r="L26" s="6" t="str">
        <x:v>ARBEID-UUR</x:v>
      </x:c>
      <x:c r="M26" s="6"/>
      <x:c r="N26" s="6"/>
      <x:c r="O26" s="6"/>
      <x:c r="P26" s="6"/>
      <x:c r="Q26" s="65" t="str">
        <x:v>2026-08-18</x:v>
      </x:c>
      <x:c r="R26" s="6" t="str">
        <x:v>Intern tarief</x:v>
      </x:c>
      <x:c r="S26" s="6"/>
      <x:c r="T26" s="6"/>
      <x:c r="U26" s="6"/>
      <x:c r="V26" s="6" t="str">
        <x:v>Geen afbeelding</x:v>
      </x:c>
      <x:c r="W26" s="6" t="str">
        <x:v>Geschat intern uurtarief</x:v>
      </x:c>
      <x:c r="X26" s="6" t="n">
        <x:v>0</x:v>
      </x:c>
      <x:c r="Y26" s="6"/>
    </x:row>
    <x:row r="27" ht="96" customHeight="1">
      <x:c r="A27" s="6" t="str">
        <x:v>CAT-TECHXXL-100831</x:v>
      </x:c>
      <x:c r="B27" s="6" t="str">
        <x:v>Materiaal</x:v>
      </x:c>
      <x:c r="C27" s="6" t="str">
        <x:v>alu_system_80x40</x:v>
      </x:c>
      <x:c r="D27" s="6" t="str">
        <x:v>Profiel</x:v>
      </x:c>
      <x:c r="E27" s="6" t="str">
        <x:v>Aluminium systeemprofielen</x:v>
      </x:c>
      <x:c r="F27" s="6" t="str">
        <x:v>Profiel 10 80x40</x:v>
      </x:c>
      <x:c r="G27" s="6" t="str">
        <x:v>m</x:v>
      </x:c>
      <x:c r="H27" s="405" t="n">
        <x:v>23.28</x:v>
      </x:c>
      <x:c r="I27" s="6" t="str">
        <x:v>EUR</x:v>
      </x:c>
      <x:c r="J27" s="406" t="n">
        <x:v>30</x:v>
      </x:c>
      <x:c r="K27" s="6" t="str">
        <x:v>SUP-TECHXXL</x:v>
      </x:c>
      <x:c r="L27" s="6" t="str">
        <x:v>TIN 100831 / S1108040</x:v>
      </x:c>
      <x:c r="M27" s="6" t="str">
        <x:v>10 / raster 40</x:v>
      </x:c>
      <x:c r="N27" s="6" t="str">
        <x:v>6040x80x40 mm</x:v>
      </x:c>
      <x:c r="O27" s="6" t="str">
        <x:v>AlMgSi0,5F25 naturel geanodiseerd</x:v>
      </x:c>
      <x:c r="P27" s="6" t="str">
        <x:v>https://www.techxxl.nl/part-100831.html</x:v>
      </x:c>
      <x:c r="Q27" s="65" t="n">
        <x:v>46256</x:v>
      </x:c>
      <x:c r="R27" s="6" t="str">
        <x:v>Leveranciersprijs</x:v>
      </x:c>
      <x:c r="S27" s="6" t="str">
        <x:v>IMG-TECHXXL-100831</x:v>
      </x:c>
      <x:c r="T27" s="6" t="str">
        <x:v>https://www.techxxl.nl/img-100831-b.jpg</x:v>
      </x:c>
      <x:c r="U27" s="6" t="str">
        <x:v>config/catalog-images/techxxl/alu-system-80x40.jpg</x:v>
      </x:c>
      <x:c r="V27" s="6" t="str">
        <x:v>Lokaal + Excel-preview</x:v>
      </x:c>
      <x:c r="W27" s="6" t="str">
        <x:v>Vanafprijs per meter netto; voorkeur via centrale categorievolgorde</x:v>
      </x:c>
      <x:c r="X27" s="6" t="n">
        <x:v>1</x:v>
      </x:c>
      <x:c r="Y27" s="6"/>
    </x:row>
    <x:row r="28" ht="96" customHeight="1">
      <x:c r="A28" s="6" t="str">
        <x:v>CAT-TECHXXL-101114</x:v>
      </x:c>
      <x:c r="B28" s="6" t="str">
        <x:v>Materiaal</x:v>
      </x:c>
      <x:c r="C28" s="6" t="str">
        <x:v>alu_system_80x80</x:v>
      </x:c>
      <x:c r="D28" s="6" t="str">
        <x:v>Profiel</x:v>
      </x:c>
      <x:c r="E28" s="6" t="str">
        <x:v>Aluminium systeemprofielen</x:v>
      </x:c>
      <x:c r="F28" s="6" t="str">
        <x:v>Profiel 10 80x80</x:v>
      </x:c>
      <x:c r="G28" s="6" t="str">
        <x:v>m</x:v>
      </x:c>
      <x:c r="H28" s="405" t="n">
        <x:v>39.16</x:v>
      </x:c>
      <x:c r="I28" s="6" t="str">
        <x:v>EUR</x:v>
      </x:c>
      <x:c r="J28" s="406" t="n">
        <x:v>30</x:v>
      </x:c>
      <x:c r="K28" s="6" t="str">
        <x:v>SUP-TECHXXL</x:v>
      </x:c>
      <x:c r="L28" s="6" t="str">
        <x:v>TIN 101114 / S1108080</x:v>
      </x:c>
      <x:c r="M28" s="6" t="str">
        <x:v>10 / raster 40</x:v>
      </x:c>
      <x:c r="N28" s="6" t="str">
        <x:v>6040x80x80 mm</x:v>
      </x:c>
      <x:c r="O28" s="6" t="str">
        <x:v>AlMgSi0,5F25 naturel geanodiseerd</x:v>
      </x:c>
      <x:c r="P28" s="6" t="str">
        <x:v>https://www.techxxl.nl/part-101114.html</x:v>
      </x:c>
      <x:c r="Q28" s="65" t="n">
        <x:v>46256</x:v>
      </x:c>
      <x:c r="R28" s="6" t="str">
        <x:v>Leveranciersprijs</x:v>
      </x:c>
      <x:c r="S28" s="6" t="str">
        <x:v>IMG-TECHXXL-101114</x:v>
      </x:c>
      <x:c r="T28" s="6" t="str">
        <x:v>https://www.techxxl.nl/img-101114-b.jpg</x:v>
      </x:c>
      <x:c r="U28" s="6" t="str">
        <x:v>config/catalog-images/techxxl/alu-system-80x80.jpg</x:v>
      </x:c>
      <x:c r="V28" s="6" t="str">
        <x:v>Lokaal + Excel-preview</x:v>
      </x:c>
      <x:c r="W28" s="6" t="str">
        <x:v>Vanafprijs per meter netto; voorkeur via centrale categorievolgorde</x:v>
      </x:c>
      <x:c r="X28" s="6" t="n">
        <x:v>1</x:v>
      </x:c>
      <x:c r="Y28" s="6"/>
    </x:row>
    <x:row r="29" ht="96" customHeight="1">
      <x:c r="A29" s="6" t="str">
        <x:v>CAT-TECHXXL-100559</x:v>
      </x:c>
      <x:c r="B29" s="6" t="str">
        <x:v>Materiaal</x:v>
      </x:c>
      <x:c r="C29" s="6" t="str">
        <x:v>alu_system_160x40</x:v>
      </x:c>
      <x:c r="D29" s="6" t="str">
        <x:v>Profiel</x:v>
      </x:c>
      <x:c r="E29" s="6" t="str">
        <x:v>Aluminium systeemprofielen</x:v>
      </x:c>
      <x:c r="F29" s="6" t="str">
        <x:v>Profiel 8 160x40 licht</x:v>
      </x:c>
      <x:c r="G29" s="6" t="str">
        <x:v>m</x:v>
      </x:c>
      <x:c r="H29" s="405" t="n">
        <x:v>47.74</x:v>
      </x:c>
      <x:c r="I29" s="6" t="str">
        <x:v>EUR</x:v>
      </x:c>
      <x:c r="J29" s="406" t="n">
        <x:v>30</x:v>
      </x:c>
      <x:c r="K29" s="6" t="str">
        <x:v>SUP-TECHXXL</x:v>
      </x:c>
      <x:c r="L29" s="6" t="str">
        <x:v>TIN 100559 / S10816040L</x:v>
      </x:c>
      <x:c r="M29" s="6" t="str">
        <x:v>8 / raster 40 / I-type</x:v>
      </x:c>
      <x:c r="N29" s="6" t="str">
        <x:v>6040x160x40 mm</x:v>
      </x:c>
      <x:c r="O29" s="6" t="str">
        <x:v>AlMgSi0,5F25 naturel geanodiseerd</x:v>
      </x:c>
      <x:c r="P29" s="6" t="str">
        <x:v>https://www.techxxl.nl/part-100559.html</x:v>
      </x:c>
      <x:c r="Q29" s="65" t="n">
        <x:v>46256</x:v>
      </x:c>
      <x:c r="R29" s="6" t="str">
        <x:v>Leveranciersprijs</x:v>
      </x:c>
      <x:c r="S29" s="6" t="str">
        <x:v>IMG-TECHXXL-100559</x:v>
      </x:c>
      <x:c r="T29" s="6" t="str">
        <x:v>https://www.techxxl.nl/img-100559-b.jpg</x:v>
      </x:c>
      <x:c r="U29" s="6" t="str">
        <x:v>config/catalog-images/techxxl/alu-system-160x40-series8.jpg</x:v>
      </x:c>
      <x:c r="V29" s="6" t="str">
        <x:v>Lokaal + Excel-preview</x:v>
      </x:c>
      <x:c r="W29" s="6" t="str">
        <x:v>Vanafprijs per meter netto; groef 8 I-type, passend bij afdekkap TIN 100199</x:v>
      </x:c>
      <x:c r="X29" s="6" t="n">
        <x:v>1</x:v>
      </x:c>
      <x:c r="Y29" s="6"/>
    </x:row>
    <x:row r="30" ht="96" customHeight="1">
      <x:c r="A30" s="6" t="str">
        <x:v>CAT-TECHXXL-101445</x:v>
      </x:c>
      <x:c r="B30" s="6" t="str">
        <x:v>Component</x:v>
      </x:c>
      <x:c r="C30" s="6" t="str">
        <x:v>techxxl_footplate_10_80x80_m16</x:v>
      </x:c>
      <x:c r="D30" s="6" t="str">
        <x:v>Beslag</x:v>
      </x:c>
      <x:c r="E30" s="6" t="str">
        <x:v>Profieltoebehoren</x:v>
      </x:c>
      <x:c r="F30" s="6" t="str">
        <x:v>Voetplaat 10 80x80 M16</x:v>
      </x:c>
      <x:c r="G30" s="6" t="str">
        <x:v>st</x:v>
      </x:c>
      <x:c r="H30" s="405" t="n">
        <x:v>7.23</x:v>
      </x:c>
      <x:c r="I30" s="6" t="str">
        <x:v>EUR</x:v>
      </x:c>
      <x:c r="J30" s="406" t="n">
        <x:v>45</x:v>
      </x:c>
      <x:c r="K30" s="6" t="str">
        <x:v>SUP-TECHXXL</x:v>
      </x:c>
      <x:c r="L30" s="6" t="str">
        <x:v>TIN 101445 / S210FP808016</x:v>
      </x:c>
      <x:c r="M30" s="6" t="str">
        <x:v>10 / raster 40</x:v>
      </x:c>
      <x:c r="N30" s="6" t="str">
        <x:v>80x80x15 mm</x:v>
      </x:c>
      <x:c r="O30" s="6" t="str">
        <x:v>ZN/AL gecoat</x:v>
      </x:c>
      <x:c r="P30" s="6" t="str">
        <x:v>https://www.techxxl.nl/part-101445.html</x:v>
      </x:c>
      <x:c r="Q30" s="65" t="n">
        <x:v>46256</x:v>
      </x:c>
      <x:c r="R30" s="6" t="str">
        <x:v>Leveranciersprijs</x:v>
      </x:c>
      <x:c r="S30" s="6" t="str">
        <x:v>IMG-TECHXXL-101445</x:v>
      </x:c>
      <x:c r="T30" s="6" t="str">
        <x:v>https://www.techxxl.nl/img-101445-b.jpg</x:v>
      </x:c>
      <x:c r="U30" s="6" t="str">
        <x:v>config/catalog-images/techxxl/footplate-10-80x80-m16.jpg</x:v>
      </x:c>
      <x:c r="V30" s="6" t="str">
        <x:v>Lokaal + Excel-preview</x:v>
      </x:c>
      <x:c r="W30" s="6" t="str">
        <x:v>Vanafprijs per stuk netto; profieltoebehoren</x:v>
      </x:c>
      <x:c r="X30" s="6" t="n">
        <x:v>1</x:v>
      </x:c>
      <x:c r="Y30" s="6"/>
    </x:row>
    <x:row r="31" ht="96" customHeight="1">
      <x:c r="A31" s="6" t="str">
        <x:v>CAT-TECHXXL-101219</x:v>
      </x:c>
      <x:c r="B31" s="6" t="str">
        <x:v>Component</x:v>
      </x:c>
      <x:c r="C31" s="6" t="str">
        <x:v>techxxl_leveling_foot_d80_m16x150</x:v>
      </x:c>
      <x:c r="D31" s="6" t="str">
        <x:v>Beslag</x:v>
      </x:c>
      <x:c r="E31" s="6" t="str">
        <x:v>Profieltoebehoren</x:v>
      </x:c>
      <x:c r="F31" s="6" t="str">
        <x:v>Verstelbare voet D80 M16x150</x:v>
      </x:c>
      <x:c r="G31" s="6" t="str">
        <x:v>st</x:v>
      </x:c>
      <x:c r="H31" s="405" t="n">
        <x:v>4.19</x:v>
      </x:c>
      <x:c r="I31" s="6" t="str">
        <x:v>EUR</x:v>
      </x:c>
      <x:c r="J31" s="406" t="n">
        <x:v>45</x:v>
      </x:c>
      <x:c r="K31" s="6" t="str">
        <x:v>SUP-TECHXXL</x:v>
      </x:c>
      <x:c r="L31" s="6" t="str">
        <x:v>TIN 101219 / S210SF8016150AB</x:v>
      </x:c>
      <x:c r="M31" s="6" t="str">
        <x:v>10</x:v>
      </x:c>
      <x:c r="N31" s="6" t="str">
        <x:v>D80x150 mm</x:v>
      </x:c>
      <x:c r="O31" s="6" t="str">
        <x:v>PA / staal verzinkt</x:v>
      </x:c>
      <x:c r="P31" s="6" t="str">
        <x:v>https://www.techxxl.nl/part-101219.html</x:v>
      </x:c>
      <x:c r="Q31" s="65" t="n">
        <x:v>46256</x:v>
      </x:c>
      <x:c r="R31" s="6" t="str">
        <x:v>Leveranciersprijs</x:v>
      </x:c>
      <x:c r="S31" s="6" t="str">
        <x:v>IMG-TECHXXL-101219</x:v>
      </x:c>
      <x:c r="T31" s="6" t="str">
        <x:v>https://www.techxxl.nl/img-101219-b.jpg</x:v>
      </x:c>
      <x:c r="U31" s="6" t="str">
        <x:v>config/catalog-images/techxxl/leveling-foot-d80-m16x150.jpg</x:v>
      </x:c>
      <x:c r="V31" s="6" t="str">
        <x:v>Lokaal + Excel-preview</x:v>
      </x:c>
      <x:c r="W31" s="6" t="str">
        <x:v>Vanafprijs per stuk netto; belastbaarheid nog valideren</x:v>
      </x:c>
      <x:c r="X31" s="6" t="n">
        <x:v>1</x:v>
      </x:c>
      <x:c r="Y31" s="6"/>
    </x:row>
    <x:row r="32" ht="96" customHeight="1">
      <x:c r="A32" s="6" t="str">
        <x:v>CAT-TECHXXL-101245</x:v>
      </x:c>
      <x:c r="B32" s="6" t="str">
        <x:v>Component</x:v>
      </x:c>
      <x:c r="C32" s="6" t="str">
        <x:v>techxxl_corner_bracket_set_10_40x80</x:v>
      </x:c>
      <x:c r="D32" s="6" t="str">
        <x:v>Beslag</x:v>
      </x:c>
      <x:c r="E32" s="6" t="str">
        <x:v>Profieltoebehoren</x:v>
      </x:c>
      <x:c r="F32" s="6" t="str">
        <x:v>Hoekbeugelset 10 40x80</x:v>
      </x:c>
      <x:c r="G32" s="6" t="str">
        <x:v>set</x:v>
      </x:c>
      <x:c r="H32" s="405" t="n">
        <x:v>2.89</x:v>
      </x:c>
      <x:c r="I32" s="6" t="str">
        <x:v>EUR</x:v>
      </x:c>
      <x:c r="J32" s="406" t="n">
        <x:v>45</x:v>
      </x:c>
      <x:c r="K32" s="6" t="str">
        <x:v>SUP-TECHXXL</x:v>
      </x:c>
      <x:c r="L32" s="6" t="str">
        <x:v>TIN 101245 / S210WS4080</x:v>
      </x:c>
      <x:c r="M32" s="6" t="str">
        <x:v>10 / raster 40</x:v>
      </x:c>
      <x:c r="N32" s="6" t="str">
        <x:v>80x80x40 mm</x:v>
      </x:c>
      <x:c r="O32" s="6" t="str">
        <x:v>Aluminium / staal verzinkt</x:v>
      </x:c>
      <x:c r="P32" s="6" t="str">
        <x:v>https://www.techxxl.nl/part-101245.html</x:v>
      </x:c>
      <x:c r="Q32" s="65" t="n">
        <x:v>46256</x:v>
      </x:c>
      <x:c r="R32" s="6" t="str">
        <x:v>Leveranciersprijs</x:v>
      </x:c>
      <x:c r="S32" s="6" t="str">
        <x:v>IMG-TECHXXL-101245</x:v>
      </x:c>
      <x:c r="T32" s="6" t="str">
        <x:v>https://www.techxxl.nl/img-101245-b.jpg</x:v>
      </x:c>
      <x:c r="U32" s="6" t="str">
        <x:v>config/catalog-images/techxxl/corner-bracket-set-10-40x80.jpg</x:v>
      </x:c>
      <x:c r="V32" s="6" t="str">
        <x:v>Lokaal + Excel-preview</x:v>
      </x:c>
      <x:c r="W32" s="6" t="str">
        <x:v>Vanafprijs per set netto; vier schroeven en bandmoeren inbegrepen</x:v>
      </x:c>
      <x:c r="X32" s="6" t="n">
        <x:v>1</x:v>
      </x:c>
      <x:c r="Y32" s="6"/>
    </x:row>
    <x:row r="33" ht="96" customHeight="1">
      <x:c r="A33" s="6" t="str">
        <x:v>CAT-TECHXXL-100199</x:v>
      </x:c>
      <x:c r="B33" s="6" t="str">
        <x:v>Component</x:v>
      </x:c>
      <x:c r="C33" s="6" t="str">
        <x:v>techxxl_end_cap_8_160x40_black</x:v>
      </x:c>
      <x:c r="D33" s="6" t="str">
        <x:v>Beslag</x:v>
      </x:c>
      <x:c r="E33" s="6" t="str">
        <x:v>Profieltoebehoren</x:v>
      </x:c>
      <x:c r="F33" s="6" t="str">
        <x:v>Afdekkap 8 160x40 zwart</x:v>
      </x:c>
      <x:c r="G33" s="6" t="str">
        <x:v>st</x:v>
      </x:c>
      <x:c r="H33" s="405" t="n">
        <x:v>0.86</x:v>
      </x:c>
      <x:c r="I33" s="6" t="str">
        <x:v>EUR</x:v>
      </x:c>
      <x:c r="J33" s="406" t="n">
        <x:v>45</x:v>
      </x:c>
      <x:c r="K33" s="6" t="str">
        <x:v>SUP-TECHXXL</x:v>
      </x:c>
      <x:c r="L33" s="6" t="str">
        <x:v>TIN 100199 / S208AK16040</x:v>
      </x:c>
      <x:c r="M33" s="6" t="str">
        <x:v>8 / raster 40 / I-type</x:v>
      </x:c>
      <x:c r="N33" s="6" t="str">
        <x:v>160x40x12 mm</x:v>
      </x:c>
      <x:c r="O33" s="6" t="str">
        <x:v>PA-GF zwart</x:v>
      </x:c>
      <x:c r="P33" s="6" t="str">
        <x:v>https://www.techxxl.nl/part-100199.html</x:v>
      </x:c>
      <x:c r="Q33" s="65" t="n">
        <x:v>46256</x:v>
      </x:c>
      <x:c r="R33" s="6" t="str">
        <x:v>Leveranciersprijs</x:v>
      </x:c>
      <x:c r="S33" s="6" t="str">
        <x:v>IMG-TECHXXL-100199</x:v>
      </x:c>
      <x:c r="T33" s="6" t="str">
        <x:v>https://www.techxxl.nl/img-100199-b.jpg</x:v>
      </x:c>
      <x:c r="U33" s="6" t="str">
        <x:v>config/catalog-images/techxxl/end-cap-8-160x40-black.jpg</x:v>
      </x:c>
      <x:c r="V33" s="6" t="str">
        <x:v>Lokaal + Excel-preview</x:v>
      </x:c>
      <x:c r="W33" s="6" t="str">
        <x:v>Groef 8 / I-type; 160x40x12 mm; één kap per blootgesteld profieleinde</x:v>
      </x:c>
      <x:c r="X33" s="6" t="n">
        <x:v>1</x:v>
      </x:c>
      <x:c r="Y33" s="6"/>
    </x:row>
    <x:row r="34">
      <x:c r="A34" s="6" t="str">
        <x:v>CAT-LIANGYUE-LY103-12</x:v>
      </x:c>
      <x:c r="B34" s="6" t="str">
        <x:v>Component</x:v>
      </x:c>
      <x:c r="C34" s="6" t="str">
        <x:v>liangyue_ly103_12_candidate</x:v>
      </x:c>
      <x:c r="D34" s="6" t="str">
        <x:v>Beslag</x:v>
      </x:c>
      <x:c r="E34" s="6" t="str">
        <x:v>Kistclips</x:v>
      </x:c>
      <x:c r="F34" s="6" t="str">
        <x:v>Heavy-Duty Spring Clip for Secure Wooden Box Assembly</x:v>
      </x:c>
      <x:c r="G34" s="6" t="str">
        <x:v>st</x:v>
      </x:c>
      <x:c r="H34" s="405"/>
      <x:c r="I34" s="6" t="str">
        <x:v>EUR</x:v>
      </x:c>
      <x:c r="J34" s="406" t="n">
        <x:v>45</x:v>
      </x:c>
      <x:c r="K34" s="6" t="str">
        <x:v>SUP-LIANGYUE</x:v>
      </x:c>
      <x:c r="L34" s="6" t="str">
        <x:v>LY103-12</x:v>
      </x:c>
      <x:c r="M34" s="6" t="str">
        <x:v>zware veerclip</x:v>
      </x:c>
      <x:c r="N34" s="6" t="str">
        <x:v>Geen maatblad; C058-schaalreferentie 63x71x35x1,5 mm</x:v>
      </x:c>
      <x:c r="O34" s="6" t="str">
        <x:v>Staal, verchroomd volgens productpagina</x:v>
      </x:c>
      <x:c r="P34" s="6" t="str">
        <x:v>https://liangyuepacking.en.made-in-china.com/product/EAOprPFJmGYT/China-Heavy-Duty-Spring-Clips-for-Secure-Wooden-Box-Assembly.html</x:v>
      </x:c>
      <x:c r="Q34" s="65"/>
      <x:c r="R34" s="6" t="str">
        <x:v>Offerte nodig</x:v>
      </x:c>
      <x:c r="S34" s="6"/>
      <x:c r="T34" s="6"/>
      <x:c r="U34" s="6"/>
      <x:c r="V34" s="6" t="str">
        <x:v>Afbeelding ontbreekt</x:v>
      </x:c>
      <x:c r="W34" s="6" t="str">
        <x:v>Leveranciersartikel gekoppeld; maatblad, sample en prijs nog opvragen</x:v>
      </x:c>
      <x:c r="X34" s="6"/>
      <x:c r="Y34" s="6"/>
    </x:row>
    <x:row r="35" ht="64.5" customHeight="1">
      <x:c r="A35" t="str">
        <x:v>CAT-TECHXXL-100243</x:v>
      </x:c>
      <x:c r="B35" t="str">
        <x:v>Component</x:v>
      </x:c>
      <x:c r="C35" t="str">
        <x:v>techxxl_t_nut_8_m8</x:v>
      </x:c>
      <x:c r="D35" t="str">
        <x:v>Beslag</x:v>
      </x:c>
      <x:c r="E35" t="str">
        <x:v>Profieltoebehoren</x:v>
      </x:c>
      <x:c r="F35" t="str">
        <x:v>T-moer 8 met brug M8</x:v>
      </x:c>
      <x:c r="G35" t="str">
        <x:v>st</x:v>
      </x:c>
      <x:c r="H35" t="n">
        <x:v>0.2</x:v>
      </x:c>
      <x:c r="I35" t="str">
        <x:v>EUR</x:v>
      </x:c>
      <x:c r="J35" t="n">
        <x:v>45</x:v>
      </x:c>
      <x:c r="K35" t="str">
        <x:v>SUP-TECHXXL</x:v>
      </x:c>
      <x:c r="L35" t="str">
        <x:v>TIN 100243 / S208NSMS8</x:v>
      </x:c>
      <x:c r="M35" t="str">
        <x:v>8 / I-type</x:v>
      </x:c>
      <x:c r="N35" t="str">
        <x:v>23x13,2x7,3 mm</x:v>
      </x:c>
      <x:c r="O35" t="str">
        <x:v>Staal verzinkt</x:v>
      </x:c>
      <x:c r="P35" t="str">
        <x:v>https://www.techxxl.nl/part-100243.html</x:v>
      </x:c>
      <x:c r="Q35" t="str">
        <x:v>2026-08-22</x:v>
      </x:c>
      <x:c r="R35" t="str">
        <x:v>Leveranciersprijs</x:v>
      </x:c>
      <x:c r="S35" t="str">
        <x:v>IMG-TECHXXL-100243</x:v>
      </x:c>
      <x:c r="T35" t="str">
        <x:v>https://www.techxxl.nl/img-100243-b.jpg</x:v>
      </x:c>
      <x:c r="U35" t="str">
        <x:v>config/catalog-images/techxxl/t-nut-8-m8.jpg</x:v>
      </x:c>
      <x:c r="V35" t="str">
        <x:v>Lokaal + Excel-preview</x:v>
      </x:c>
      <x:c r="W35" t="str">
        <x:v>Vanafprijs per stuk netto; los onderdeel, niet de volledige M8x22-bevestigingsset</x:v>
      </x:c>
      <x:c r="X35" t="n">
        <x:v>1</x:v>
      </x:c>
      <x:c r="Y35"/>
    </x:row>
    <x:row r="36" ht="64.5" customHeight="1">
      <x:c r="A36" t="str">
        <x:v>CAT-TECHXXL-101068</x:v>
      </x:c>
      <x:c r="B36" t="str">
        <x:v>Component</x:v>
      </x:c>
      <x:c r="C36" t="str">
        <x:v>techxxl_caster_fixed_d100</x:v>
      </x:c>
      <x:c r="D36" t="str">
        <x:v>Beslag</x:v>
      </x:c>
      <x:c r="E36" t="str">
        <x:v>Profieltoebehoren</x:v>
      </x:c>
      <x:c r="F36" t="str">
        <x:v>Zwenkwiel vast D100</x:v>
      </x:c>
      <x:c r="G36" t="str">
        <x:v>st</x:v>
      </x:c>
      <x:c r="H36" t="n">
        <x:v>14.35</x:v>
      </x:c>
      <x:c r="I36" t="str">
        <x:v>EUR</x:v>
      </x:c>
      <x:c r="J36" t="n">
        <x:v>45</x:v>
      </x:c>
      <x:c r="K36" t="str">
        <x:v>SUP-TECHXXL</x:v>
      </x:c>
      <x:c r="L36" t="str">
        <x:v>TIN 101068 / S208BRD100</x:v>
      </x:c>
      <x:c r="M36" t="str">
        <x:v>8 / I-type</x:v>
      </x:c>
      <x:c r="N36" t="str">
        <x:v>132x40 mm</x:v>
      </x:c>
      <x:c r="O36" t="str">
        <x:v>ST/Gummi</x:v>
      </x:c>
      <x:c r="P36" t="str">
        <x:v>https://www.techxxl.nl/part-101068.html</x:v>
      </x:c>
      <x:c r="Q36" t="str">
        <x:v>2026-08-22</x:v>
      </x:c>
      <x:c r="R36" t="str">
        <x:v>Leveranciersprijs</x:v>
      </x:c>
      <x:c r="S36" t="str">
        <x:v>IMG-TECHXXL-101068</x:v>
      </x:c>
      <x:c r="T36" t="str">
        <x:v>https://www.techxxl.nl/img-101068-b.jpg</x:v>
      </x:c>
      <x:c r="U36" t="str">
        <x:v>config/catalog-images/techxxl/caster-fixed-d100.jpg</x:v>
      </x:c>
      <x:c r="V36" t="str">
        <x:v>Lokaal + Excel-preview</x:v>
      </x:c>
      <x:c r="W36" t="str">
        <x:v>Vanafprijs per stuk netto; 80 kg draaglast volgens leverancier</x:v>
      </x:c>
      <x:c r="X36" t="n">
        <x:v>1</x:v>
      </x:c>
      <x:c r="Y36"/>
    </x:row>
    <x:row r="37" ht="64.5" customHeight="1">
      <x:c r="A37" t="str">
        <x:v>CAT-TECHXXL-101074</x:v>
      </x:c>
      <x:c r="B37" t="str">
        <x:v>Component</x:v>
      </x:c>
      <x:c r="C37" t="str">
        <x:v>techxxl_caster_swivel_d100</x:v>
      </x:c>
      <x:c r="D37" t="str">
        <x:v>Beslag</x:v>
      </x:c>
      <x:c r="E37" t="str">
        <x:v>Profieltoebehoren</x:v>
      </x:c>
      <x:c r="F37" t="str">
        <x:v>Zwenkwiel D100</x:v>
      </x:c>
      <x:c r="G37" t="str">
        <x:v>st</x:v>
      </x:c>
      <x:c r="H37" t="n">
        <x:v>15.42</x:v>
      </x:c>
      <x:c r="I37" t="str">
        <x:v>EUR</x:v>
      </x:c>
      <x:c r="J37" t="n">
        <x:v>45</x:v>
      </x:c>
      <x:c r="K37" t="str">
        <x:v>SUP-TECHXXL</x:v>
      </x:c>
      <x:c r="L37" t="str">
        <x:v>TIN 101074 / S208L100</x:v>
      </x:c>
      <x:c r="M37" t="str">
        <x:v>8 / I-type</x:v>
      </x:c>
      <x:c r="N37" t="str">
        <x:v>132x44 mm</x:v>
      </x:c>
      <x:c r="O37" t="str">
        <x:v>ST/Gummi</x:v>
      </x:c>
      <x:c r="P37" t="str">
        <x:v>https://www.techxxl.nl/part-101074.html</x:v>
      </x:c>
      <x:c r="Q37" t="str">
        <x:v>2026-08-22</x:v>
      </x:c>
      <x:c r="R37" t="str">
        <x:v>Leveranciersprijs</x:v>
      </x:c>
      <x:c r="S37" t="str">
        <x:v>IMG-TECHXXL-101074</x:v>
      </x:c>
      <x:c r="T37" t="str">
        <x:v>https://www.techxxl.nl/img-101074-b.jpg</x:v>
      </x:c>
      <x:c r="U37" t="str">
        <x:v>config/catalog-images/techxxl/caster-swivel-d100.jpg</x:v>
      </x:c>
      <x:c r="V37" t="str">
        <x:v>Lokaal + Excel-preview</x:v>
      </x:c>
      <x:c r="W37" t="str">
        <x:v>Vanafprijs per stuk netto; 90 kg draaglast volgens leverancier</x:v>
      </x:c>
      <x:c r="X37" t="n">
        <x:v>1</x:v>
      </x:c>
      <x:c r="Y37"/>
    </x:row>
    <x:row r="38" ht="64.5" customHeight="1">
      <x:c r="A38" t="str">
        <x:v>CAT-TECHXXL-101076</x:v>
      </x:c>
      <x:c r="B38" t="str">
        <x:v>Component</x:v>
      </x:c>
      <x:c r="C38" t="str">
        <x:v>techxxl_caster_swivel_brake_d100</x:v>
      </x:c>
      <x:c r="D38" t="str">
        <x:v>Beslag</x:v>
      </x:c>
      <x:c r="E38" t="str">
        <x:v>Profieltoebehoren</x:v>
      </x:c>
      <x:c r="F38" t="str">
        <x:v>Zwenkwiel D100 dubbele rem</x:v>
      </x:c>
      <x:c r="G38" t="str">
        <x:v>st</x:v>
      </x:c>
      <x:c r="H38" t="n">
        <x:v>20.82</x:v>
      </x:c>
      <x:c r="I38" t="str">
        <x:v>EUR</x:v>
      </x:c>
      <x:c r="J38" t="n">
        <x:v>45</x:v>
      </x:c>
      <x:c r="K38" t="str">
        <x:v>SUP-TECHXXL</x:v>
      </x:c>
      <x:c r="L38" t="str">
        <x:v>TIN 101076 / S208LDF100</x:v>
      </x:c>
      <x:c r="M38" t="str">
        <x:v>8 / I-type</x:v>
      </x:c>
      <x:c r="N38" t="str">
        <x:v>132x44 mm</x:v>
      </x:c>
      <x:c r="O38" t="str">
        <x:v>ST/Gummi</x:v>
      </x:c>
      <x:c r="P38" t="str">
        <x:v>https://www.techxxl.nl/part-101076.html</x:v>
      </x:c>
      <x:c r="Q38" t="str">
        <x:v>2026-08-22</x:v>
      </x:c>
      <x:c r="R38" t="str">
        <x:v>Leveranciersprijs</x:v>
      </x:c>
      <x:c r="S38" t="str">
        <x:v>IMG-TECHXXL-101076</x:v>
      </x:c>
      <x:c r="T38" t="str">
        <x:v>https://www.techxxl.nl/img-101076-b.jpg</x:v>
      </x:c>
      <x:c r="U38" t="str">
        <x:v>config/catalog-images/techxxl/caster-swivel-brake-d100.jpg</x:v>
      </x:c>
      <x:c r="V38" t="str">
        <x:v>Lokaal + Excel-preview</x:v>
      </x:c>
      <x:c r="W38" t="str">
        <x:v>Vanafprijs per stuk netto; 90 kg draaglast volgens leverancier</x:v>
      </x:c>
      <x:c r="X38" t="n">
        <x:v>1</x:v>
      </x:c>
      <x:c r="Y38"/>
    </x:row>
    <x:row r="39" ht="64.5" customHeight="1">
      <x:c r="A39" t="str">
        <x:v>CAT-TECHXXL-100360</x:v>
      </x:c>
      <x:c r="B39" t="str">
        <x:v>Component</x:v>
      </x:c>
      <x:c r="C39" t="str">
        <x:v>techxxl_corner_bracket_set_8_40x40</x:v>
      </x:c>
      <x:c r="D39" t="str">
        <x:v>Beslag</x:v>
      </x:c>
      <x:c r="E39" t="str">
        <x:v>Profieltoebehoren</x:v>
      </x:c>
      <x:c r="F39" t="str">
        <x:v>Hoekbeugelset 8 40x40 ZN</x:v>
      </x:c>
      <x:c r="G39" t="str">
        <x:v>set</x:v>
      </x:c>
      <x:c r="H39" t="n">
        <x:v>2.88</x:v>
      </x:c>
      <x:c r="I39" t="str">
        <x:v>EUR</x:v>
      </x:c>
      <x:c r="J39" t="n">
        <x:v>45</x:v>
      </x:c>
      <x:c r="K39" t="str">
        <x:v>SUP-TECHXXL</x:v>
      </x:c>
      <x:c r="L39" t="str">
        <x:v>TIN 100360 / S208WS40</x:v>
      </x:c>
      <x:c r="M39" t="str">
        <x:v>8 / I-type / raster 40</x:v>
      </x:c>
      <x:c r="N39" t="str">
        <x:v>40x40x40 mm</x:v>
      </x:c>
      <x:c r="O39" t="str">
        <x:v>ZN gecoat / staal verzinkt</x:v>
      </x:c>
      <x:c r="P39" t="str">
        <x:v>https://www.techxxl.nl/part-100360.html</x:v>
      </x:c>
      <x:c r="Q39" t="str">
        <x:v>2026-08-22</x:v>
      </x:c>
      <x:c r="R39" t="str">
        <x:v>Leveranciersprijs</x:v>
      </x:c>
      <x:c r="S39" t="str">
        <x:v>IMG-TECHXXL-100360</x:v>
      </x:c>
      <x:c r="T39" t="str">
        <x:v>https://www.techxxl.nl/img-100360-b.jpg</x:v>
      </x:c>
      <x:c r="U39" t="str">
        <x:v>config/catalog-images/techxxl/corner-bracket-set-8-40x40.jpg</x:v>
      </x:c>
      <x:c r="V39" t="str">
        <x:v>Lokaal + Excel-preview</x:v>
      </x:c>
      <x:c r="W39" t="str">
        <x:v>Vanafprijs per complete set netto; serie 8 raster 40</x:v>
      </x:c>
      <x:c r="X39" t="n">
        <x:v>1</x:v>
      </x:c>
      <x:c r="Y39"/>
    </x:row>
    <x:row r="40">
      <x:c r="A40" t="str">
        <x:v>CAT-CUSTOM-S235-10</x:v>
      </x:c>
      <x:c r="B40" t="str">
        <x:v>Materiaal</x:v>
      </x:c>
      <x:c r="C40" t="str">
        <x:v>steel_s235_10_custom</x:v>
      </x:c>
      <x:c r="D40" t="str">
        <x:v>Materiaal</x:v>
      </x:c>
      <x:c r="E40" t="str">
        <x:v>Staalplaat</x:v>
      </x:c>
      <x:c r="F40" t="str">
        <x:v>S235JR staalplaat 10 mm custom</x:v>
      </x:c>
      <x:c r="G40" t="str">
        <x:v>m2</x:v>
      </x:c>
      <x:c r="H40" t="n">
        <x:v>85</x:v>
      </x:c>
      <x:c r="I40" t="str">
        <x:v>EUR</x:v>
      </x:c>
      <x:c r="J40" t="n">
        <x:v>35</x:v>
      </x:c>
      <x:c r="K40"/>
      <x:c r="L40"/>
      <x:c r="M40"/>
      <x:c r="N40" t="str">
        <x:v>10x2000x1000 mm</x:v>
      </x:c>
      <x:c r="O40" t="str">
        <x:v>S235JR</x:v>
      </x:c>
      <x:c r="P40"/>
      <x:c r="Q40" t="str">
        <x:v>2026-08-22</x:v>
      </x:c>
      <x:c r="R40" t="str">
        <x:v>Schatting</x:v>
      </x:c>
      <x:c r="S40"/>
      <x:c r="T40"/>
      <x:c r="U40"/>
      <x:c r="V40" t="str">
        <x:v>Geen leveranciersbeeld</x:v>
      </x:c>
      <x:c r="W40" t="str">
        <x:v>Voorlopige nettoprijs per m2; leverancier en snijproces nog selecteren</x:v>
      </x:c>
      <x:c r="X40"/>
      <x:c r="Y40"/>
    </x:row>
  </x:sheetData>
  <x:mergeCells>
    <x:mergeCell ref="A1:L1"/>
    <x:mergeCell ref="A2:L2"/>
    <x:mergeCell ref="A1:Y1"/>
    <x:mergeCell ref="A2:Y2"/>
  </x:mergeCells>
  <x:conditionalFormatting sqref="K6:K26">
    <x:cfRule type="containsText" dxfId="39" priority="1" operator="containsText" text="Actueel"/>
    <x:cfRule type="containsText" dxfId="40" priority="2" operator="containsText" text="Voorlopig"/>
    <x:cfRule type="containsText" dxfId="41" priority="3" operator="containsText" text="Schatting"/>
    <x:cfRule type="containsText" dxfId="42" priority="4" operator="containsText" text="Te controleren"/>
  </x:conditionalFormatting>
  <x:dataValidations count="1">
    <x:dataValidation type="list" sqref="K6:K26">
      <x:formula1>"Actueel,Prijsindicatie,Voorlopig,Schatting,Te controleren,Intern tarief,Vervallen"</x:formula1>
    </x:dataValidation>
  </x:dataValidations>
  <x:pageMargins left="0.7" right="0.7" top="0.75" bottom="0.75" header="0.3" footer="0.3"/>
  <x:drawing xmlns:r="http://schemas.openxmlformats.org/officeDocument/2006/relationships" r:id="Rac6a242650dc44b7"/>
  <x:legacyDrawing xmlns:r="http://schemas.openxmlformats.org/officeDocument/2006/relationships" r:id="Rf2156822464d4cae"/>
  <x:tableParts count="1">
    <x:tablePart xmlns:r="http://schemas.openxmlformats.org/officeDocument/2006/relationships" r:id="Rbc8c40fffa5640cb"/>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14" hidden="0" customWidth="1"/>
    <x:col min="4" max="4" width="13" hidden="0" customWidth="1"/>
    <x:col min="5" max="5" width="11" hidden="0" customWidth="1"/>
    <x:col min="6" max="6" width="13" hidden="0" customWidth="1"/>
    <x:col min="7" max="7" width="12" hidden="0" customWidth="1"/>
    <x:col min="8" max="8" width="11" hidden="0" customWidth="1"/>
    <x:col min="9" max="9" width="14" hidden="0" customWidth="1"/>
    <x:col min="10" max="10" width="14" hidden="0" customWidth="1"/>
    <x:col min="11" max="11" width="14" hidden="0" customWidth="1"/>
    <x:col min="12" max="12" width="13" hidden="0" customWidth="1"/>
    <x:col min="13" max="13" width="14" hidden="0" customWidth="1"/>
    <x:col min="14" max="14" width="19" hidden="0" customWidth="1"/>
    <x:col min="15" max="15" width="16" hidden="0" customWidth="1"/>
    <x:col min="16" max="16" width="34" hidden="0" customWidth="1"/>
    <x:col min="17" max="17" width="22" hidden="0" customWidth="1"/>
    <x:col min="18" max="18" width="25" hidden="0" customWidth="1"/>
    <x:col min="19" max="19" width="11" hidden="0" customWidth="1"/>
    <x:col min="20" max="20" width="14" hidden="0" customWidth="1"/>
    <x:col min="21" max="21" width="45" hidden="0" customWidth="1"/>
  </x:cols>
  <x:sheetData>
    <x:row r="1" ht="28" customHeight="1">
      <x:c r="A1" s="267" t="str">
        <x:v>Gereedschapsbibliotheek en V-freesvrijgave</x:v>
      </x:c>
      <x:c r="B1" s="267"/>
      <x:c r="C1" s="267"/>
      <x:c r="D1" s="267"/>
      <x:c r="E1" s="267"/>
      <x:c r="F1" s="267"/>
      <x:c r="G1" s="267"/>
      <x:c r="H1" s="267"/>
      <x:c r="I1" s="267"/>
      <x:c r="J1" s="267"/>
      <x:c r="K1" s="267"/>
      <x:c r="L1" s="267"/>
      <x:c r="M1" s="267"/>
      <x:c r="N1" s="267"/>
      <x:c r="O1" s="267"/>
      <x:c r="P1" s="267"/>
      <x:c r="Q1" s="267"/>
      <x:c r="R1" s="267"/>
      <x:c r="S1" s="267"/>
      <x:c r="T1" s="267"/>
      <x:c r="U1" s="267"/>
    </x:row>
    <x:row r="2" ht="32" customHeight="1">
      <x:c r="A2" s="271" t="str">
        <x:v>Centrale bron voor freesgeometrie, CAM-waarden en vrijgavestatus. Lege kritieke velden blokkeren alleen bewerkingen die dit gereedschap vereisen.</x:v>
      </x:c>
      <x:c r="B2" s="271"/>
      <x:c r="C2" s="271"/>
      <x:c r="D2" s="271"/>
      <x:c r="E2" s="271"/>
      <x:c r="F2" s="271"/>
      <x:c r="G2" s="271"/>
      <x:c r="H2" s="271"/>
      <x:c r="I2" s="271"/>
      <x:c r="J2" s="271"/>
      <x:c r="K2" s="271"/>
      <x:c r="L2" s="271"/>
      <x:c r="M2" s="271"/>
      <x:c r="N2" s="271"/>
      <x:c r="O2" s="271"/>
      <x:c r="P2" s="271"/>
      <x:c r="Q2" s="271"/>
      <x:c r="R2" s="271"/>
      <x:c r="S2" s="271"/>
      <x:c r="T2" s="271"/>
      <x:c r="U2" s="271"/>
    </x:row>
    <x:row r="5" ht="42" customHeight="1">
      <x:c r="A5" s="277" t="str">
        <x:v>Gereedschap-ID</x:v>
      </x:c>
      <x:c r="B5" s="277" t="str">
        <x:v>Naam</x:v>
      </x:c>
      <x:c r="C5" s="277" t="str">
        <x:v>Type</x:v>
      </x:c>
      <x:c r="D5" s="277" t="str">
        <x:v>Snijdiameter mm</x:v>
      </x:c>
      <x:c r="E5" s="277" t="str">
        <x:v>Punthoek °</x:v>
      </x:c>
      <x:c r="F5" s="277" t="str">
        <x:v>Puntdiameter mm</x:v>
      </x:c>
      <x:c r="G5" s="277" t="str">
        <x:v>Schacht Ø mm</x:v>
      </x:c>
      <x:c r="H5" s="277" t="str">
        <x:v>Snijkanten</x:v>
      </x:c>
      <x:c r="I5" s="277" t="str">
        <x:v>Voeding mm/min</x:v>
      </x:c>
      <x:c r="J5" s="277" t="str">
        <x:v>Plunge mm/min</x:v>
      </x:c>
      <x:c r="K5" s="277" t="str">
        <x:v>Toerental rpm</x:v>
      </x:c>
      <x:c r="L5" s="277" t="str">
        <x:v>Stapdiepte mm</x:v>
      </x:c>
      <x:c r="M5" s="277" t="str">
        <x:v>Conuslengte mm</x:v>
      </x:c>
      <x:c r="N5" s="277" t="str">
        <x:v>Cilindrische snijlengte mm</x:v>
      </x:c>
      <x:c r="O5" s="277" t="str">
        <x:v>Max. veilige diepte mm</x:v>
      </x:c>
      <x:c r="P5" s="277" t="str">
        <x:v>Toepassing</x:v>
      </x:c>
      <x:c r="Q5" s="277" t="str">
        <x:v>Materiaal</x:v>
      </x:c>
      <x:c r="R5" s="277" t="str">
        <x:v>Z-referentie</x:v>
      </x:c>
      <x:c r="S5" s="277" t="str">
        <x:v>Rotatie</x:v>
      </x:c>
      <x:c r="T5" s="277" t="str">
        <x:v>Status</x:v>
      </x:c>
      <x:c r="U5" s="277" t="str">
        <x:v>Bron/opmerking</x:v>
      </x:c>
    </x:row>
    <x:row r="6" ht="44" customHeight="1">
      <x:c r="A6" s="282" t="str">
        <x:v>endmill_3mm_2flute_carbide</x:v>
      </x:c>
      <x:c r="B6" s="282" t="str">
        <x:v>Frees 3mm 2-fluit carbide</x:v>
      </x:c>
      <x:c r="C6" s="282" t="str">
        <x:v>Vingerfrees</x:v>
      </x:c>
      <x:c r="D6" s="290" t="n">
        <x:v>3</x:v>
      </x:c>
      <x:c r="E6" s="290"/>
      <x:c r="F6" s="290"/>
      <x:c r="G6" s="290"/>
      <x:c r="H6" s="290" t="n">
        <x:v>2</x:v>
      </x:c>
      <x:c r="I6" s="292" t="n">
        <x:v>1600</x:v>
      </x:c>
      <x:c r="J6" s="292" t="n">
        <x:v>300</x:v>
      </x:c>
      <x:c r="K6" s="292" t="n">
        <x:v>18000</x:v>
      </x:c>
      <x:c r="L6" s="290" t="n">
        <x:v>2</x:v>
      </x:c>
      <x:c r="M6" s="290"/>
      <x:c r="N6" s="290"/>
      <x:c r="O6" s="290"/>
      <x:c r="P6" s="282" t="str">
        <x:v>Kleine pilotgaten en pockets</x:v>
      </x:c>
      <x:c r="Q6" s="282" t="str">
        <x:v>Hout/plaatmateriaal</x:v>
      </x:c>
      <x:c r="R6" s="282" t="str">
        <x:v>Z0 bovenvlak plaat</x:v>
      </x:c>
      <x:c r="S6" s="282" t="str">
        <x:v>Rechts</x:v>
      </x:c>
      <x:c r="T6" s="288" t="str">
        <x:v>Voorlopig</x:v>
      </x:c>
      <x:c r="U6" s="282" t="str">
        <x:v>Uit config/tools.json; schacht, uitsteek en maximale veilige diepte nog verifiëren</x:v>
      </x:c>
    </x:row>
    <x:row r="7" ht="44" customHeight="1">
      <x:c r="A7" s="287" t="str">
        <x:v>endmill_6mm</x:v>
      </x:c>
      <x:c r="B7" s="287" t="str">
        <x:v>Frees 6mm</x:v>
      </x:c>
      <x:c r="C7" s="287" t="str">
        <x:v>Vingerfrees</x:v>
      </x:c>
      <x:c r="D7" s="291" t="n">
        <x:v>6</x:v>
      </x:c>
      <x:c r="E7" s="291"/>
      <x:c r="F7" s="291"/>
      <x:c r="G7" s="291"/>
      <x:c r="H7" s="291"/>
      <x:c r="I7" s="293" t="n">
        <x:v>3200</x:v>
      </x:c>
      <x:c r="J7" s="293" t="n">
        <x:v>800</x:v>
      </x:c>
      <x:c r="K7" s="293" t="n">
        <x:v>20500</x:v>
      </x:c>
      <x:c r="L7" s="291" t="n">
        <x:v>6.25</x:v>
      </x:c>
      <x:c r="M7" s="291"/>
      <x:c r="N7" s="291"/>
      <x:c r="O7" s="291"/>
      <x:c r="P7" s="287" t="str">
        <x:v>Pockets, sleuven en buitencontouren</x:v>
      </x:c>
      <x:c r="Q7" s="287" t="str">
        <x:v>Hout/plaatmateriaal</x:v>
      </x:c>
      <x:c r="R7" s="287" t="str">
        <x:v>Z0 bovenvlak plaat</x:v>
      </x:c>
      <x:c r="S7" s="287" t="str">
        <x:v>Rechts</x:v>
      </x:c>
      <x:c r="T7" s="288" t="str">
        <x:v>Voorlopig</x:v>
      </x:c>
      <x:c r="U7" s="287" t="str">
        <x:v>Fysiek mooier lopend bij S20500; normale F3200/plunge F800/stap 6,25 mm. Eindcontour afzonderlijk F1600 via CAM-PAR-010.</x:v>
      </x:c>
    </x:row>
    <x:row r="8" ht="44" customHeight="1">
      <x:c r="A8" s="282" t="str">
        <x:v>endmill_8mm</x:v>
      </x:c>
      <x:c r="B8" s="282" t="str">
        <x:v>Frees 8mm</x:v>
      </x:c>
      <x:c r="C8" s="282" t="str">
        <x:v>Vingerfrees</x:v>
      </x:c>
      <x:c r="D8" s="290" t="n">
        <x:v>8</x:v>
      </x:c>
      <x:c r="E8" s="290"/>
      <x:c r="F8" s="290"/>
      <x:c r="G8" s="290"/>
      <x:c r="H8" s="290"/>
      <x:c r="I8" s="292" t="n">
        <x:v>2200</x:v>
      </x:c>
      <x:c r="J8" s="292" t="n">
        <x:v>450</x:v>
      </x:c>
      <x:c r="K8" s="292" t="n">
        <x:v>18000</x:v>
      </x:c>
      <x:c r="L8" s="290" t="n">
        <x:v>5</x:v>
      </x:c>
      <x:c r="M8" s="290"/>
      <x:c r="N8" s="290"/>
      <x:c r="O8" s="290"/>
      <x:c r="P8" s="282" t="str">
        <x:v>Grote pockets/contouren indien gekozen</x:v>
      </x:c>
      <x:c r="Q8" s="282" t="str">
        <x:v>Hout/plaatmateriaal</x:v>
      </x:c>
      <x:c r="R8" s="282" t="str">
        <x:v>Z0 bovenvlak plaat</x:v>
      </x:c>
      <x:c r="S8" s="282" t="str">
        <x:v>Rechts</x:v>
      </x:c>
      <x:c r="T8" s="288" t="str">
        <x:v>Voorlopig</x:v>
      </x:c>
      <x:c r="U8" s="282" t="str">
        <x:v>Uit config/tools.json; snijkanten, schacht, uitsteek en maximale veilige diepte nog verifiëren</x:v>
      </x:c>
    </x:row>
    <x:row r="9" ht="44" customHeight="1">
      <x:c r="A9" s="287" t="str">
        <x:v>drill_5mm</x:v>
      </x:c>
      <x:c r="B9" s="287" t="str">
        <x:v>Boor 5mm</x:v>
      </x:c>
      <x:c r="C9" s="287" t="str">
        <x:v>Boor</x:v>
      </x:c>
      <x:c r="D9" s="291" t="n">
        <x:v>5</x:v>
      </x:c>
      <x:c r="E9" s="291"/>
      <x:c r="F9" s="291"/>
      <x:c r="G9" s="291"/>
      <x:c r="H9" s="291" t="n">
        <x:v>2</x:v>
      </x:c>
      <x:c r="I9" s="293" t="n">
        <x:v>300</x:v>
      </x:c>
      <x:c r="J9" s="293" t="n">
        <x:v>300</x:v>
      </x:c>
      <x:c r="K9" s="293" t="n">
        <x:v>6000</x:v>
      </x:c>
      <x:c r="L9" s="291" t="n">
        <x:v>3</x:v>
      </x:c>
      <x:c r="M9" s="291"/>
      <x:c r="N9" s="291"/>
      <x:c r="O9" s="291"/>
      <x:c r="P9" s="287" t="str">
        <x:v>5mm boorgaten</x:v>
      </x:c>
      <x:c r="Q9" s="287" t="str">
        <x:v>Hout/plaatmateriaal</x:v>
      </x:c>
      <x:c r="R9" s="287" t="str">
        <x:v>Z0 bovenvlak plaat</x:v>
      </x:c>
      <x:c r="S9" s="287" t="str">
        <x:v>Rechts</x:v>
      </x:c>
      <x:c r="T9" s="288" t="str">
        <x:v>Voorlopig</x:v>
      </x:c>
      <x:c r="U9" s="287" t="str">
        <x:v>Uit config/tools.json; punthoek en maximale veilige diepte nog verifiëren</x:v>
      </x:c>
    </x:row>
    <x:row r="10" ht="58" customHeight="1">
      <x:c r="A10" s="282" t="str">
        <x:v>vbit_90deg_8mm_shank_6_35</x:v>
      </x:c>
      <x:c r="B10" s="282" t="str">
        <x:v>V-frees 90° Ø8 / schacht Ø6,35</x:v>
      </x:c>
      <x:c r="C10" s="282" t="str">
        <x:v>V-frees</x:v>
      </x:c>
      <x:c r="D10" s="290" t="n">
        <x:v>8</x:v>
      </x:c>
      <x:c r="E10" s="290" t="n">
        <x:v>90</x:v>
      </x:c>
      <x:c r="F10" s="290" t="n">
        <x:v>0</x:v>
      </x:c>
      <x:c r="G10" s="290" t="n">
        <x:v>6.35</x:v>
      </x:c>
      <x:c r="H10" s="290" t="n">
        <x:v>2</x:v>
      </x:c>
      <x:c r="I10" s="292" t="n">
        <x:v>600</x:v>
      </x:c>
      <x:c r="J10" s="292" t="n">
        <x:v>150</x:v>
      </x:c>
      <x:c r="K10" s="292" t="n">
        <x:v>18000</x:v>
      </x:c>
      <x:c r="L10" s="290" t="n">
        <x:v>1</x:v>
      </x:c>
      <x:c r="M10" s="290" t="n">
        <x:v>4</x:v>
      </x:c>
      <x:c r="N10" s="290" t="n">
        <x:v>4.5</x:v>
      </x:c>
      <x:c r="O10" s="290" t="n">
        <x:f>M10+N10</x:f>
        <x:v>8.5</x:v>
      </x:c>
      <x:c r="P10" s="282" t="str">
        <x:v>Hout-op-hout schroefgaten verzinken en volledige buitencontour nalopen</x:v>
      </x:c>
      <x:c r="Q10" s="282" t="str">
        <x:v>Betonplex en overige houtplaten</x:v>
      </x:c>
      <x:c r="R10" s="282" t="str">
        <x:v>Z0 bovenvlak plaat; op scherpe tip meten</x:v>
      </x:c>
      <x:c r="S10" s="282" t="str">
        <x:v>Rechts</x:v>
      </x:c>
      <x:c r="T10" s="289" t="str">
        <x:v>Voorlopig</x:v>
      </x:c>
      <x:c r="U10" s="282" t="str">
        <x:v>Vrijgegeven voor fysieke proef; G-code gebruikt S18000, F600, plunge F150 en stap 1mm; maten volgens schets Dylan 2026-08-18</x:v>
      </x:c>
    </x:row>
    <x:row r="13" ht="24" customHeight="1">
      <x:c r="A13" s="295" t="str">
        <x:v>Bewerkingsregels voor twee onafhankelijk aanvinkbare V-freesopties</x:v>
      </x:c>
      <x:c r="B13" s="295"/>
      <x:c r="C13" s="295"/>
      <x:c r="D13" s="295"/>
      <x:c r="E13" s="295"/>
      <x:c r="F13" s="295"/>
      <x:c r="G13" s="295"/>
      <x:c r="H13" s="295"/>
      <x:c r="I13" s="295"/>
      <x:c r="J13" s="295"/>
      <x:c r="K13" s="295"/>
      <x:c r="L13" s="295"/>
    </x:row>
    <x:row r="14" ht="38" customHeight="1">
      <x:c r="A14" s="277" t="str">
        <x:v>Regel-ID</x:v>
      </x:c>
      <x:c r="B14" s="277" t="str">
        <x:v>Product</x:v>
      </x:c>
      <x:c r="C14" s="277" t="str">
        <x:v>Optie</x:v>
      </x:c>
      <x:c r="D14" s="277" t="str">
        <x:v>Bewerking</x:v>
      </x:c>
      <x:c r="E14" s="277" t="str">
        <x:v>Gereedschap-ID</x:v>
      </x:c>
      <x:c r="F14" s="277" t="str">
        <x:v>Inclusie</x:v>
      </x:c>
      <x:c r="G14" s="277" t="str">
        <x:v>Uitsluitingen</x:v>
      </x:c>
      <x:c r="H14" s="277" t="str">
        <x:v>Doelmaat</x:v>
      </x:c>
      <x:c r="I14" s="277" t="str">
        <x:v>Bewerkingszijde</x:v>
      </x:c>
      <x:c r="J14" s="277" t="str">
        <x:v>Volgorde</x:v>
      </x:c>
      <x:c r="K14" s="277" t="str">
        <x:v>Status</x:v>
      </x:c>
      <x:c r="L14" s="277" t="str">
        <x:v>Nog ontbrekende data</x:v>
      </x:c>
    </x:row>
    <x:row r="15" ht="110" customHeight="1">
      <x:c r="A15" s="287" t="str">
        <x:v>CAM-V-001</x:v>
      </x:c>
      <x:c r="B15" s="287" t="str">
        <x:v>werkbankkast</x:v>
      </x:c>
      <x:c r="C15" s="287" t="str">
        <x:v>Hout-op-hout schroefgaten verzinken</x:v>
      </x:c>
      <x:c r="D15" s="287" t="str">
        <x:v>Conisch verzinken</x:v>
      </x:c>
      <x:c r="E15" s="287" t="str">
        <x:v>vbit_90deg_8mm_shank_6_35</x:v>
      </x:c>
      <x:c r="F15" s="287" t="str">
        <x:v>Alleen gaten met SupportKind=PanelScrew / hout-op-hout</x:v>
      </x:c>
      <x:c r="G15" s="287" t="str">
        <x:v>Legplankgaten, railgaten, scharnieren, poot/adaptergaten, pockets en overige componentgaten</x:v>
      </x:c>
      <x:c r="H15" s="287" t="str">
        <x:v>Ø8mm kopzitting; Z-diepte 5,0mm = 4,0mm conus + 1,0mm cilindrisch</x:v>
      </x:c>
      <x:c r="I15" s="287" t="str">
        <x:v>Bovenzijde van actuele nesting-opspanning</x:v>
      </x:c>
      <x:c r="J15" s="287" t="str">
        <x:v>Na gaten, vóór randafwerking en volledige buitencontour</x:v>
      </x:c>
      <x:c r="K15" s="289" t="str">
        <x:v>Voorlopig</x:v>
      </x:c>
      <x:c r="L15" s="287" t="str">
        <x:v>Vrijgegeven voor proefexport; fysiek verzinkresultaat in betonplex vastleggen</x:v>
      </x:c>
    </x:row>
    <x:row r="16" ht="110" customHeight="1">
      <x:c r="A16" s="282" t="str">
        <x:v>CAM-V-002</x:v>
      </x:c>
      <x:c r="B16" s="282" t="str">
        <x:v>werkbankkast</x:v>
      </x:c>
      <x:c r="C16" s="282" t="str">
        <x:v>Volledige buitencontour afschuinen</x:v>
      </x:c>
      <x:c r="D16" s="282" t="str">
        <x:v>Volledige gesloten randafschuining</x:v>
      </x:c>
      <x:c r="E16" s="282" t="str">
        <x:v>vbit_90deg_8mm_shank_6_35</x:v>
      </x:c>
      <x:c r="F16" s="282" t="str">
        <x:v>Iedere buitencontour van ieder genest plaatdeel</x:v>
      </x:c>
      <x:c r="G16" s="282" t="str">
        <x:v>Interne uitsparingen, gaten en pockets tenzij later afzonderlijk gekozen</x:v>
      </x:c>
      <x:c r="H16" s="282" t="str">
        <x:v>Afschuining 1,0mm breed × 1,0mm diep bij 90°</x:v>
      </x:c>
      <x:c r="I16" s="282" t="str">
        <x:v>Bovenzijde van actuele nesting-opspanning</x:v>
      </x:c>
      <x:c r="J16" s="282" t="str">
        <x:v>Na optioneel verzinken; vóór volle-diepte contour en vóór delen loskomen</x:v>
      </x:c>
      <x:c r="K16" s="289" t="str">
        <x:v>Voorlopig</x:v>
      </x:c>
      <x:c r="L16" s="282" t="str">
        <x:v>Vrijgegeven voor proefexport; hoekgedrag en afwerking fysiek in betonplex vastleggen</x:v>
      </x:c>
    </x:row>
  </x:sheetData>
  <x:mergeCells>
    <x:mergeCell ref="A13:L13"/>
    <x:mergeCell ref="A1:U1"/>
    <x:mergeCell ref="A2:U2"/>
  </x:mergeCells>
  <x:dataValidations count="3">
    <x:dataValidation type="list" sqref="R6:R10">
      <x:formula1>'Keuzelijsten'!$B$6:$B$11</x:formula1>
    </x:dataValidation>
    <x:dataValidation type="list" sqref="K15:K16">
      <x:formula1>'Keuzelijsten'!$B$6:$B$11</x:formula1>
    </x:dataValidation>
    <x:dataValidation type="list" sqref="T6:T10">
      <x:formula1>'Keuzelijsten'!$B$6:$B$11</x:formula1>
    </x:dataValidation>
  </x:dataValidations>
  <x:pageMargins left="0.7" right="0.7" top="0.75" bottom="0.75" header="0.3" footer="0.3"/>
  <x:tableParts count="2">
    <x:tablePart xmlns:r="http://schemas.openxmlformats.org/officeDocument/2006/relationships" r:id="Rfda57bdf29854b5f"/>
    <x:tablePart xmlns:r="http://schemas.openxmlformats.org/officeDocument/2006/relationships" r:id="R7443341ec9444d84"/>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34" hidden="0" customWidth="1"/>
    <x:col min="4" max="4" width="12" hidden="0" customWidth="1"/>
    <x:col min="5" max="5" width="12" hidden="0" customWidth="1"/>
    <x:col min="6" max="6" width="50" hidden="0" customWidth="1"/>
    <x:col min="7" max="7" width="48" hidden="0" customWidth="1"/>
    <x:col min="8" max="8" width="14" hidden="0" customWidth="1"/>
    <x:col min="9" max="9" width="56" hidden="0" customWidth="1"/>
  </x:cols>
  <x:sheetData>
    <x:row r="1" ht="28" customHeight="1">
      <x:c r="A1" s="347" t="str">
        <x:v>Centrale CAM-masterparameters</x:v>
      </x:c>
      <x:c r="B1" s="347"/>
      <x:c r="C1" s="347"/>
      <x:c r="D1" s="347"/>
      <x:c r="E1" s="347"/>
      <x:c r="F1" s="347"/>
      <x:c r="G1" s="347"/>
      <x:c r="H1" s="347"/>
      <x:c r="I1" s="347"/>
    </x:row>
    <x:row r="2" ht="34" customHeight="1">
      <x:c r="A2" s="351" t="str">
        <x:v>Machine- en proceswaarden die voor iedere CAM-export gelijk gelden. Door-en-doordiepte wordt vanaf Z0 op het plaatoppervlak berekend als plaatdikte plus doorsteek.</x:v>
      </x:c>
      <x:c r="B2" s="351"/>
      <x:c r="C2" s="351"/>
      <x:c r="D2" s="351"/>
      <x:c r="E2" s="351"/>
      <x:c r="F2" s="351"/>
      <x:c r="G2" s="351"/>
      <x:c r="H2" s="351"/>
      <x:c r="I2" s="351"/>
    </x:row>
    <x:row r="5" ht="42" customHeight="1">
      <x:c r="A5" s="357" t="str">
        <x:v>Parameter-ID</x:v>
      </x:c>
      <x:c r="B5" s="357" t="str">
        <x:v>Sleutel</x:v>
      </x:c>
      <x:c r="C5" s="357" t="str">
        <x:v>Parameter</x:v>
      </x:c>
      <x:c r="D5" s="357" t="str">
        <x:v>Waarde</x:v>
      </x:c>
      <x:c r="E5" s="357" t="str">
        <x:v>Eenheid</x:v>
      </x:c>
      <x:c r="F5" s="357" t="str">
        <x:v>Toepassen op</x:v>
      </x:c>
      <x:c r="G5" s="357" t="str">
        <x:v>Niet toepassen op</x:v>
      </x:c>
      <x:c r="H5" s="357" t="str">
        <x:v>Status</x:v>
      </x:c>
      <x:c r="I5" s="357" t="str">
        <x:v>Toelichting</x:v>
      </x:c>
    </x:row>
    <x:row r="6" ht="54" customHeight="1">
      <x:c r="A6" s="362" t="str">
        <x:v>CAM-PAR-001</x:v>
      </x:c>
      <x:c r="B6" s="362" t="str">
        <x:v>cam_through_cut_overtravel_mm</x:v>
      </x:c>
      <x:c r="C6" s="362" t="str">
        <x:v>Doorsteek door-en-doorbewerking</x:v>
      </x:c>
      <x:c r="D6" s="368" t="n">
        <x:v>1</x:v>
      </x:c>
      <x:c r="E6" s="362" t="str">
        <x:v>mm</x:v>
      </x:c>
      <x:c r="F6" s="362" t="str">
        <x:v>Buitencontouren; doorlopende gaten; doorlopende pockets en sleuven</x:v>
      </x:c>
      <x:c r="G6" s="362" t="str">
        <x:v>Blinde gaten, pockets, kopkamers, verzinkingen en markeringen</x:v>
      </x:c>
      <x:c r="H6" s="371" t="str">
        <x:v>Actief</x:v>
      </x:c>
      <x:c r="I6" s="362" t="str">
        <x:v>Einddiepte = plaatdikte + 1,0 mm. Voor 18 mm plaat wordt eind-Z -19,0 mm bij Z0 op bovenzijde.</x:v>
      </x:c>
    </x:row>
    <x:row r="7" ht="54" customHeight="1">
      <x:c r="A7" s="367" t="str">
        <x:v>CAM-PAR-002</x:v>
      </x:c>
      <x:c r="B7" s="367" t="str">
        <x:v>cam_tab_width_mm</x:v>
      </x:c>
      <x:c r="C7" s="367" t="str">
        <x:v>Tabbreedte</x:v>
      </x:c>
      <x:c r="D7" s="369" t="n">
        <x:v>10</x:v>
      </x:c>
      <x:c r="E7" s="367" t="str">
        <x:v>mm</x:v>
      </x:c>
      <x:c r="F7" s="367" t="str">
        <x:v>Tabs in de laatste buitencontourpassage</x:v>
      </x:c>
      <x:c r="G7" s="367" t="str">
        <x:v>Gaten, pockets en contouren zonder tabs</x:v>
      </x:c>
      <x:c r="H7" s="371" t="str">
        <x:v>Actief</x:v>
      </x:c>
      <x:c r="I7" s="367" t="str">
        <x:v>Strategische buitencontourtabs: 10 mm breed, alleen op kleine/smalle risicodelen.</x:v>
      </x:c>
    </x:row>
    <x:row r="8" ht="54" customHeight="1">
      <x:c r="A8" s="362" t="str">
        <x:v>CAM-PAR-003</x:v>
      </x:c>
      <x:c r="B8" s="362" t="str">
        <x:v>cam_tab_height_mm</x:v>
      </x:c>
      <x:c r="C8" s="362" t="str">
        <x:v>Resterende tabhoogte</x:v>
      </x:c>
      <x:c r="D8" s="368" t="n">
        <x:v>1</x:v>
      </x:c>
      <x:c r="E8" s="362" t="str">
        <x:v>mm</x:v>
      </x:c>
      <x:c r="F8" s="362" t="str">
        <x:v>Tabs gemeten vanaf de onderzijde van de werkelijke plaat</x:v>
      </x:c>
      <x:c r="G8" s="362" t="str">
        <x:v>Doorsteekdiepte; dit is nadrukkelijk geen extra freesdiepte</x:v>
      </x:c>
      <x:c r="H8" s="371" t="str">
        <x:v>Actief</x:v>
      </x:c>
      <x:c r="I8" s="362" t="str">
        <x:v>Eén millimeter tabhoogte sluit aan op de 1 mm onion-skin voor de bewaakte eindlaag.</x:v>
      </x:c>
    </x:row>
    <x:row r="9">
      <x:c r="A9" t="str">
        <x:v>CAM-PAR-004</x:v>
      </x:c>
      <x:c r="B9" t="str">
        <x:v>cam_drawer_pull_skin_mm</x:v>
      </x:c>
      <x:c r="C9" t="str">
        <x:v>Restmateriaal handgreep-voorpocket</x:v>
      </x:c>
      <x:c r="D9" t="n">
        <x:v>2</x:v>
      </x:c>
      <x:c r="E9" t="str">
        <x:v>mm</x:v>
      </x:c>
      <x:c r="F9" t="str">
        <x:v>Uitgefreesde ladehandgrepen vóór de afwerkcontour</x:v>
      </x:c>
      <x:c r="G9" t="str">
        <x:v>Overige pockets</x:v>
      </x:c>
      <x:c r="H9" t="str">
        <x:v>Proefstuk</x:v>
      </x:c>
      <x:c r="I9" t="str">
        <x:v>Behoudt vacuüm tijdens het uitruimen; bij 18 mm plaat is pocketdiepte 16 mm.</x:v>
      </x:c>
    </x:row>
    <x:row r="10">
      <x:c r="A10" t="str">
        <x:v>CAM-PAR-005</x:v>
      </x:c>
      <x:c r="B10" t="str">
        <x:v>cam_drawer_pull_tab_width_mm</x:v>
      </x:c>
      <x:c r="C10" t="str">
        <x:v>Tabbreedte handgreep</x:v>
      </x:c>
      <x:c r="D10" t="n">
        <x:v>8</x:v>
      </x:c>
      <x:c r="E10" t="str">
        <x:v>mm</x:v>
      </x:c>
      <x:c r="F10" t="str">
        <x:v>Afwerkcontour ladehandgreep</x:v>
      </x:c>
      <x:c r="G10" t="str">
        <x:v>Buitencontourtabs</x:v>
      </x:c>
      <x:c r="H10" t="str">
        <x:v>Proefstuk</x:v>
      </x:c>
      <x:c r="I10" t="str">
        <x:v>Specifiek voor interne capsulecontour.</x:v>
      </x:c>
    </x:row>
    <x:row r="11">
      <x:c r="A11" t="str">
        <x:v>CAM-PAR-006</x:v>
      </x:c>
      <x:c r="B11" t="str">
        <x:v>cam_drawer_pull_tab_height_mm</x:v>
      </x:c>
      <x:c r="C11" t="str">
        <x:v>Resterende tabhoogte handgreep</x:v>
      </x:c>
      <x:c r="D11" t="n">
        <x:v>2</x:v>
      </x:c>
      <x:c r="E11" t="str">
        <x:v>mm</x:v>
      </x:c>
      <x:c r="F11" t="str">
        <x:v>Afwerkcontour ladehandgreep</x:v>
      </x:c>
      <x:c r="G11" t="str">
        <x:v>Algemene buitencontourtabs van 1,5 mm</x:v>
      </x:c>
      <x:c r="H11" t="str">
        <x:v>Proefstuk</x:v>
      </x:c>
      <x:c r="I11" t="str">
        <x:v>Gemeten vanaf onderzijde van de werkelijke plaat.</x:v>
      </x:c>
    </x:row>
    <x:row r="12">
      <x:c r="A12" t="str">
        <x:v>CAM-PAR-007</x:v>
      </x:c>
      <x:c r="B12" t="str">
        <x:v>cam_drawer_pull_tab_max_spacing_mm</x:v>
      </x:c>
      <x:c r="C12" t="str">
        <x:v>Maximale tabtussenafstand handgreep</x:v>
      </x:c>
      <x:c r="D12" t="n">
        <x:v>70</x:v>
      </x:c>
      <x:c r="E12" t="str">
        <x:v>mm</x:v>
      </x:c>
      <x:c r="F12" t="str">
        <x:v>Afwerkcontour ladehandgreep</x:v>
      </x:c>
      <x:c r="G12" t="str">
        <x:v>Overige contouren</x:v>
      </x:c>
      <x:c r="H12" t="str">
        <x:v>Proefstuk</x:v>
      </x:c>
      <x:c r="I12" t="str">
        <x:v>Aantal tabs wordt naar boven afgerond zodat de hartafstand nooit groter is dan 70 mm.</x:v>
      </x:c>
    </x:row>
    <x:row r="13">
      <x:c r="A13" t="str">
        <x:v>CAM-PAR-008</x:v>
      </x:c>
      <x:c r="B13" t="str">
        <x:v>cam_safe_travel_z_mm</x:v>
      </x:c>
      <x:c r="C13" t="str">
        <x:v>Veilige retract- en transporthoogte</x:v>
      </x:c>
      <x:c r="D13" t="n">
        <x:v>15</x:v>
      </x:c>
      <x:c r="E13" t="str">
        <x:v>mm</x:v>
      </x:c>
      <x:c r="F13" t="str">
        <x:v>Alle bewerkingen, peck-retracts en iedere X/Y-snelverplaatsing</x:v>
      </x:c>
      <x:c r="G13" t="str">
        <x:v>Geen uitzonderingen in product-CAM</x:v>
      </x:c>
      <x:c r="H13" t="str">
        <x:v>Actief</x:v>
      </x:c>
      <x:c r="I13" t="str">
        <x:v>Eén centrale veiligheidswaarde: peck-retract en transport altijd Z+15 of hoger.</x:v>
      </x:c>
    </x:row>
    <x:row r="14" ht="42" customHeight="1">
      <x:c r="A14" s="6" t="str">
        <x:v>CAM-PAR-009</x:v>
      </x:c>
      <x:c r="B14" s="6" t="str">
        <x:v>cam_contour_onion_skin_mm</x:v>
      </x:c>
      <x:c r="C14" s="6" t="str">
        <x:v>Restmateriaal vóór laatste contourlaag</x:v>
      </x:c>
      <x:c r="D14" s="6" t="n">
        <x:v>1</x:v>
      </x:c>
      <x:c r="E14" s="6" t="str">
        <x:v>mm</x:v>
      </x:c>
      <x:c r="F14" s="6" t="str">
        <x:v>Alle buitencontouren</x:v>
      </x:c>
      <x:c r="G14" s="6" t="str">
        <x:v>Gaten, pockets en blinde bewerkingen</x:v>
      </x:c>
      <x:c r="H14" s="6" t="str">
        <x:v>Actief</x:v>
      </x:c>
      <x:c r="I14" s="6" t="str">
        <x:v>Formule: voorlaag-Z = -(werkelijke plaatdikte - onion-skin). Voorbeelden: 18 mm → Z-17; 25 mm → Z-24. Nooit een vaste Z-17-regel.</x:v>
      </x:c>
    </x:row>
    <x:row r="15">
      <x:c r="A15" t="str">
        <x:v>CAM-PAR-010</x:v>
      </x:c>
      <x:c r="B15" t="str">
        <x:v>cam_final_contour_feed_mm_min</x:v>
      </x:c>
      <x:c r="C15" t="str">
        <x:v>Voeding laatste contourlaag</x:v>
      </x:c>
      <x:c r="D15" t="n">
        <x:v>1600</x:v>
      </x:c>
      <x:c r="E15" t="str">
        <x:v>mm/min</x:v>
      </x:c>
      <x:c r="F15" t="str">
        <x:v>Bewaakte eindlaag van buitencontouren</x:v>
      </x:c>
      <x:c r="G15" t="str">
        <x:v>Voorfrezen, gaten en pockets</x:v>
      </x:c>
      <x:c r="H15" t="str">
        <x:v>Actief</x:v>
      </x:c>
      <x:c r="I15" t="str">
        <x:v>Alleen de eindlaag gebruikt 1600 mm/min; normale 6 mm voeding blijft 3200 mm/min.</x:v>
      </x:c>
    </x:row>
    <x:row r="16" ht="42" customHeight="1">
      <x:c r="A16" s="6" t="str">
        <x:v>CAM-PAR-011</x:v>
      </x:c>
      <x:c r="B16" s="6" t="str">
        <x:v>cam_final_contour_ramp_length_mm</x:v>
      </x:c>
      <x:c r="C16" s="6" t="str">
        <x:v>Ramplengte laatste contourlaag</x:v>
      </x:c>
      <x:c r="D16" s="6" t="n">
        <x:v>30</x:v>
      </x:c>
      <x:c r="E16" s="6" t="str">
        <x:v>mm</x:v>
      </x:c>
      <x:c r="F16" s="6" t="str">
        <x:v>Alleen insteek van de bewaakte eindlaag in bestaande groef</x:v>
      </x:c>
      <x:c r="G16" s="6" t="str">
        <x:v>Overige passages</x:v>
      </x:c>
      <x:c r="H16" s="6" t="str">
        <x:v>Actief</x:v>
      </x:c>
      <x:c r="I16" s="6" t="str">
        <x:v>Alleen de bewaakte eindlaag rampt vanuit de berekende voorlaag naar eind-Z = -(werkelijke plaatdikte + doorsteek). Voorbeelden bij 1 mm doorsteek: 18 mm → Z-19; 25 mm → Z-26.</x:v>
      </x:c>
    </x:row>
  </x:sheetData>
  <x:mergeCells>
    <x:mergeCell ref="A1:I1"/>
    <x:mergeCell ref="A2:I2"/>
  </x:mergeCells>
  <x:pageMargins left="0.7" right="0.7" top="0.75" bottom="0.75" header="0.3" footer="0.3"/>
  <x:tableParts count="1">
    <x:tablePart xmlns:r="http://schemas.openxmlformats.org/officeDocument/2006/relationships" r:id="R7f0d3fa0b0034386"/>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3.1299991607666" hidden="0" customWidth="1"/>
    <x:col min="2" max="2" width="31.25" hidden="0" customWidth="1"/>
    <x:col min="3" max="3" width="21.8799991607666" hidden="0" customWidth="1"/>
    <x:col min="4" max="4" width="33.75" hidden="0" customWidth="1"/>
    <x:col min="5" max="5" width="24" hidden="0" customWidth="1"/>
    <x:col min="6" max="6" width="38.75" hidden="0" customWidth="1"/>
    <x:col min="7" max="7" width="10.380000114440918" hidden="0" customWidth="1"/>
    <x:col min="8" max="8" width="18.6299991607666" hidden="0" customWidth="1"/>
    <x:col min="9" max="9" width="51.25" hidden="0" customWidth="1"/>
    <x:col min="10" max="10" width="10.630000114440918" hidden="0" customWidth="1"/>
    <x:col min="11" max="11" width="45" hidden="0" customWidth="1"/>
  </x:cols>
  <x:sheetData>
    <x:row r="1" ht="28" customHeight="1">
      <x:c r="A1" s="403" t="str">
        <x:v>Leveranciers en categorievoorkeuren — centrale bron</x:v>
      </x:c>
      <x:c r="B1" s="403"/>
      <x:c r="C1" s="403"/>
      <x:c r="D1" s="403"/>
      <x:c r="E1" s="403"/>
      <x:c r="F1" s="403"/>
      <x:c r="G1" s="403"/>
      <x:c r="H1" s="403"/>
      <x:c r="I1" s="403"/>
      <x:c r="J1" s="403"/>
      <x:c r="K1" s="403"/>
    </x:row>
    <x:row r="2" ht="34" customHeight="1">
      <x:c r="A2" s="402" t="str">
        <x:v>Leveranciers worden overal via Leverancier-ID gekoppeld. De tweede tabel bepaalt rang per categorie, subcategorie en productscope.</x:v>
      </x:c>
      <x:c r="B2" s="402"/>
      <x:c r="C2" s="402"/>
      <x:c r="D2" s="402"/>
      <x:c r="E2" s="402"/>
      <x:c r="F2" s="402"/>
      <x:c r="G2" s="402"/>
      <x:c r="H2" s="402"/>
      <x:c r="I2" s="402"/>
      <x:c r="J2" s="402"/>
      <x:c r="K2" s="402"/>
    </x:row>
    <x:row r="3">
      <x:c r="A3" s="6"/>
      <x:c r="B3" s="6"/>
      <x:c r="C3" s="6"/>
      <x:c r="D3" s="6"/>
      <x:c r="E3" s="6"/>
      <x:c r="F3" s="6"/>
      <x:c r="G3" s="6"/>
      <x:c r="H3" s="6"/>
      <x:c r="I3" s="6"/>
      <x:c r="J3" s="6"/>
      <x:c r="K3" s="6"/>
    </x:row>
    <x:row r="4">
      <x:c r="A4" s="6"/>
      <x:c r="B4" s="6"/>
      <x:c r="C4" s="6"/>
      <x:c r="D4" s="6"/>
      <x:c r="E4" s="6"/>
      <x:c r="F4" s="6"/>
      <x:c r="G4" s="6"/>
      <x:c r="H4" s="6"/>
      <x:c r="I4" s="6"/>
      <x:c r="J4" s="6"/>
      <x:c r="K4" s="6"/>
    </x:row>
    <x:row r="5">
      <x:c r="A5" s="6" t="str">
        <x:v>Leverancier-ID</x:v>
      </x:c>
      <x:c r="B5" s="6" t="str">
        <x:v>Naam</x:v>
      </x:c>
      <x:c r="C5" s="6" t="str">
        <x:v>Korte naam</x:v>
      </x:c>
      <x:c r="D5" s="6" t="str">
        <x:v>Website</x:v>
      </x:c>
      <x:c r="E5" s="6" t="str">
        <x:v>Land/regio</x:v>
      </x:c>
      <x:c r="F5" s="6" t="str">
        <x:v>Assortiment</x:v>
      </x:c>
      <x:c r="G5" s="6" t="str">
        <x:v>Status</x:v>
      </x:c>
      <x:c r="H5" s="6" t="str">
        <x:v>Laatst gecontroleerd</x:v>
      </x:c>
      <x:c r="I5" s="6" t="str">
        <x:v>Opmerking</x:v>
      </x:c>
      <x:c r="J5" s="6"/>
      <x:c r="K5" s="6"/>
    </x:row>
    <x:row r="6" ht="40.5" customHeight="1">
      <x:c r="A6" s="6" t="str">
        <x:v>SUP-TECHXXL</x:v>
      </x:c>
      <x:c r="B6" s="6" t="str">
        <x:v>TechXXL</x:v>
      </x:c>
      <x:c r="C6" s="6" t="str">
        <x:v>TechXXL</x:v>
      </x:c>
      <x:c r="D6" s="6" t="str">
        <x:v>https://www.techxxl.nl/</x:v>
      </x:c>
      <x:c r="E6" s="6" t="str">
        <x:v>EU / Nederlandstalige webshop</x:v>
      </x:c>
      <x:c r="F6" s="6" t="str">
        <x:v>Aluminium systeemprofielen en profieltoebehoren</x:v>
      </x:c>
      <x:c r="G6" s="6" t="str">
        <x:v>Actief</x:v>
      </x:c>
      <x:c r="H6" s="65" t="n">
        <x:v>46256</x:v>
      </x:c>
      <x:c r="I6" s="6" t="str">
        <x:v>Eerste voorkeur voor passende profielen en profieltoebehoren</x:v>
      </x:c>
      <x:c r="J6" s="6"/>
      <x:c r="K6" s="6"/>
    </x:row>
    <x:row r="7">
      <x:c r="A7" s="6" t="str">
        <x:v>SUP-LIANGYUE</x:v>
      </x:c>
      <x:c r="B7" s="6" t="str">
        <x:v>Nanjing Liangyue Packaging Products Co., Ltd.</x:v>
      </x:c>
      <x:c r="C7" s="6" t="str">
        <x:v>Liangyue</x:v>
      </x:c>
      <x:c r="D7" s="6" t="str">
        <x:v>https://liangyuepacking.en.made-in-china.com/</x:v>
      </x:c>
      <x:c r="E7" s="6" t="str">
        <x:v>China / Nanjing, Jiangsu</x:v>
      </x:c>
      <x:c r="F7" s="6" t="str">
        <x:v>Clip-lock houten kisten, stalen kistclips, flightcase-beslag en maatwerk</x:v>
      </x:c>
      <x:c r="G7" s="6" t="str">
        <x:v>Kandidaat</x:v>
      </x:c>
      <x:c r="H7" s="65" t="n">
        <x:v>46256</x:v>
      </x:c>
      <x:c r="I7" s="6" t="str">
        <x:v>Sample, maatblad en offerte vereist</x:v>
      </x:c>
      <x:c r="J7" s="6"/>
      <x:c r="K7" s="6"/>
    </x:row>
    <x:row r="8">
      <x:c r="A8" s="6" t="str">
        <x:v>SUP-IKEA</x:v>
      </x:c>
      <x:c r="B8" s="6" t="str">
        <x:v>IKEA</x:v>
      </x:c>
      <x:c r="C8" s="6" t="str">
        <x:v>IKEA</x:v>
      </x:c>
      <x:c r="D8" s="6" t="str">
        <x:v>https://www.ikea.com/nl/nl/</x:v>
      </x:c>
      <x:c r="E8" s="6" t="str">
        <x:v>Nederland / internationaal</x:v>
      </x:c>
      <x:c r="F8" s="6" t="str">
        <x:v>Kastbeslag, poten en inrichting</x:v>
      </x:c>
      <x:c r="G8" s="6" t="str">
        <x:v>Actief</x:v>
      </x:c>
      <x:c r="H8" s="65" t="n">
        <x:v>46256</x:v>
      </x:c>
      <x:c r="I8" s="6" t="str">
        <x:v>Bestaande SEKTION-componenten koppelen op artikelnummer</x:v>
      </x:c>
      <x:c r="J8" s="6"/>
      <x:c r="K8" s="6"/>
    </x:row>
    <x:row r="9">
      <x:c r="A9" s="6" t="str">
        <x:v>SUP-MAUNSYSTEM</x:v>
      </x:c>
      <x:c r="B9" s="6" t="str">
        <x:v>Maunsystem</x:v>
      </x:c>
      <x:c r="C9" s="6" t="str">
        <x:v>Maunsystem</x:v>
      </x:c>
      <x:c r="D9" s="6" t="str">
        <x:v>https://www.maunsystem.de/</x:v>
      </x:c>
      <x:c r="E9" s="6" t="str">
        <x:v>EU / Duitsland</x:v>
      </x:c>
      <x:c r="F9" s="6" t="str">
        <x:v>Profielvoeten, adapters en systeemtoebehoren</x:v>
      </x:c>
      <x:c r="G9" s="6" t="str">
        <x:v>Actief</x:v>
      </x:c>
      <x:c r="H9" s="65" t="n">
        <x:v>46256</x:v>
      </x:c>
      <x:c r="I9" s="6" t="str">
        <x:v>Prijsindicaties aanwezig; beschikbaarheid voor bestellen controleren</x:v>
      </x:c>
      <x:c r="J9" s="6"/>
      <x:c r="K9" s="6"/>
    </x:row>
    <x:row r="10">
      <x:c r="A10" s="6"/>
      <x:c r="B10" s="6"/>
      <x:c r="C10" s="6"/>
      <x:c r="D10" s="6"/>
      <x:c r="E10" s="6"/>
      <x:c r="F10" s="6"/>
      <x:c r="G10" s="6"/>
      <x:c r="H10" s="6"/>
      <x:c r="I10" s="6"/>
      <x:c r="J10" s="6"/>
      <x:c r="K10" s="6"/>
    </x:row>
    <x:row r="11">
      <x:c r="A11" s="6"/>
      <x:c r="B11" s="6"/>
      <x:c r="C11" s="6"/>
      <x:c r="D11" s="6"/>
      <x:c r="E11" s="6"/>
      <x:c r="F11" s="6"/>
      <x:c r="G11" s="6"/>
      <x:c r="H11" s="6"/>
      <x:c r="I11" s="6"/>
      <x:c r="J11" s="6"/>
      <x:c r="K11" s="6"/>
    </x:row>
    <x:row r="12">
      <x:c r="A12" s="403" t="str">
        <x:v>Categorievoorkeuren</x:v>
      </x:c>
      <x:c r="B12" s="403"/>
      <x:c r="C12" s="403"/>
      <x:c r="D12" s="403"/>
      <x:c r="E12" s="403"/>
      <x:c r="F12" s="403"/>
      <x:c r="G12" s="403"/>
      <x:c r="H12" s="403"/>
      <x:c r="I12" s="403"/>
      <x:c r="J12" s="403"/>
      <x:c r="K12" s="403"/>
    </x:row>
    <x:row r="13">
      <x:c r="A13" s="402" t="str">
        <x:v>Rang wordt alleen toegepast wanneer categorie, subcategorie en scope passen. Een kandidaatvoorkeur wordt niet automatisch geselecteerd.</x:v>
      </x:c>
      <x:c r="B13" s="402"/>
      <x:c r="C13" s="402"/>
      <x:c r="D13" s="402"/>
      <x:c r="E13" s="402"/>
      <x:c r="F13" s="402"/>
      <x:c r="G13" s="402"/>
      <x:c r="H13" s="402"/>
      <x:c r="I13" s="402"/>
      <x:c r="J13" s="402"/>
      <x:c r="K13" s="402"/>
    </x:row>
    <x:row r="14">
      <x:c r="A14" s="6"/>
      <x:c r="B14" s="6"/>
      <x:c r="C14" s="6"/>
      <x:c r="D14" s="6"/>
      <x:c r="E14" s="6"/>
      <x:c r="F14" s="6"/>
      <x:c r="G14" s="6"/>
      <x:c r="H14" s="6"/>
      <x:c r="I14" s="6"/>
      <x:c r="J14" s="6"/>
      <x:c r="K14" s="6"/>
    </x:row>
    <x:row r="15">
      <x:c r="A15" s="6"/>
      <x:c r="B15" s="6"/>
      <x:c r="C15" s="6"/>
      <x:c r="D15" s="6"/>
      <x:c r="E15" s="6"/>
      <x:c r="F15" s="6"/>
      <x:c r="G15" s="6"/>
      <x:c r="H15" s="6"/>
      <x:c r="I15" s="6"/>
      <x:c r="J15" s="6"/>
      <x:c r="K15" s="6"/>
    </x:row>
    <x:row r="16">
      <x:c r="A16" s="6" t="str">
        <x:v>Voorkeur-ID</x:v>
      </x:c>
      <x:c r="B16" s="6" t="str">
        <x:v>Categorie</x:v>
      </x:c>
      <x:c r="C16" s="6" t="str">
        <x:v>Subcategorie</x:v>
      </x:c>
      <x:c r="D16" s="6" t="str">
        <x:v>Leverancier-ID</x:v>
      </x:c>
      <x:c r="E16" s="6" t="str">
        <x:v>Rang</x:v>
      </x:c>
      <x:c r="F16" s="6" t="str">
        <x:v>Scope-type</x:v>
      </x:c>
      <x:c r="G16" s="6" t="str">
        <x:v>Scope-ID</x:v>
      </x:c>
      <x:c r="H16" s="6" t="str">
        <x:v>Status</x:v>
      </x:c>
      <x:c r="I16" s="6" t="str">
        <x:v>Geldig vanaf</x:v>
      </x:c>
      <x:c r="J16" s="6" t="str">
        <x:v>Geldig tot</x:v>
      </x:c>
      <x:c r="K16" s="6" t="str">
        <x:v>Uitleg</x:v>
      </x:c>
    </x:row>
    <x:row r="17">
      <x:c r="A17" s="6" t="str">
        <x:v>SUP-PREF-PROFILE-001</x:v>
      </x:c>
      <x:c r="B17" s="6" t="str">
        <x:v>Profiel</x:v>
      </x:c>
      <x:c r="C17" s="6" t="str">
        <x:v>Aluminium systeemprofielen</x:v>
      </x:c>
      <x:c r="D17" s="6" t="str">
        <x:v>SUP-TECHXXL</x:v>
      </x:c>
      <x:c r="E17" s="6" t="n">
        <x:v>1</x:v>
      </x:c>
      <x:c r="F17" s="6" t="str">
        <x:v>Alle producten</x:v>
      </x:c>
      <x:c r="G17" s="6"/>
      <x:c r="H17" s="6" t="str">
        <x:v>Actief</x:v>
      </x:c>
      <x:c r="I17" s="65" t="n">
        <x:v>46256</x:v>
      </x:c>
      <x:c r="J17" s="65"/>
      <x:c r="K17" s="6" t="str">
        <x:v>Standaard bron voor passende T-slot systeemprofielen</x:v>
      </x:c>
    </x:row>
    <x:row r="18">
      <x:c r="A18" s="6" t="str">
        <x:v>SUP-PREF-ACCESSORY-001</x:v>
      </x:c>
      <x:c r="B18" s="6" t="str">
        <x:v>Beslag</x:v>
      </x:c>
      <x:c r="C18" s="6" t="str">
        <x:v>Profieltoebehoren</x:v>
      </x:c>
      <x:c r="D18" s="6" t="str">
        <x:v>SUP-TECHXXL</x:v>
      </x:c>
      <x:c r="E18" s="6" t="n">
        <x:v>1</x:v>
      </x:c>
      <x:c r="F18" s="6" t="str">
        <x:v>Alle producten</x:v>
      </x:c>
      <x:c r="G18" s="6"/>
      <x:c r="H18" s="6" t="str">
        <x:v>Actief</x:v>
      </x:c>
      <x:c r="I18" s="65" t="n">
        <x:v>46256</x:v>
      </x:c>
      <x:c r="J18" s="65"/>
      <x:c r="K18" s="6" t="str">
        <x:v>Standaard bron voor seriecompatibele profieltoebehoren</x:v>
      </x:c>
    </x:row>
    <x:row r="19">
      <x:c r="A19" s="6" t="str">
        <x:v>SUP-PREF-CRATECLIP-001</x:v>
      </x:c>
      <x:c r="B19" s="6" t="str">
        <x:v>Beslag</x:v>
      </x:c>
      <x:c r="C19" s="6" t="str">
        <x:v>Kistclips</x:v>
      </x:c>
      <x:c r="D19" s="6" t="str">
        <x:v>SUP-LIANGYUE</x:v>
      </x:c>
      <x:c r="E19" s="6" t="n">
        <x:v>1</x:v>
      </x:c>
      <x:c r="F19" s="6" t="str">
        <x:v>Product</x:v>
      </x:c>
      <x:c r="G19" s="6" t="str">
        <x:v>shipping_box</x:v>
      </x:c>
      <x:c r="H19" s="6" t="str">
        <x:v>Kandidaat</x:v>
      </x:c>
      <x:c r="I19" s="65" t="n">
        <x:v>46256</x:v>
      </x:c>
      <x:c r="J19" s="65"/>
      <x:c r="K19" s="6" t="str">
        <x:v>Pas activeren na sample-inmeting en offerte</x:v>
      </x:c>
    </x:row>
  </x:sheetData>
  <x:mergeCells>
    <x:mergeCell ref="A1:H1"/>
    <x:mergeCell ref="A2:H2"/>
    <x:mergeCell ref="A1:K1"/>
    <x:mergeCell ref="A2:K2"/>
    <x:mergeCell ref="A12:K12"/>
    <x:mergeCell ref="A13:K13"/>
  </x:mergeCells>
  <x:pageMargins left="0.7" right="0.7" top="0.75" bottom="0.75" header="0.3" footer="0.3"/>
  <x:tableParts count="2">
    <x:tablePart xmlns:r="http://schemas.openxmlformats.org/officeDocument/2006/relationships" r:id="Ra822c0d8a85d463f"/>
    <x:tablePart xmlns:r="http://schemas.openxmlformats.org/officeDocument/2006/relationships" r:id="R88df06fbe350452b"/>
  </x:tableParts>
</x:worksheet>
</file>